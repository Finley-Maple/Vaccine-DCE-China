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ley\Desktop\research\healthcare\P1 COVID19\task 1 discrete choice\Vaccine-DCE\"/>
    </mc:Choice>
  </mc:AlternateContent>
  <xr:revisionPtr revIDLastSave="0" documentId="13_ncr:1_{3D9BA7FF-727F-4C91-9DB3-769754A4D481}" xr6:coauthVersionLast="36" xr6:coauthVersionMax="36" xr10:uidLastSave="{00000000-0000-0000-0000-000000000000}"/>
  <bookViews>
    <workbookView xWindow="-110" yWindow="-110" windowWidth="19420" windowHeight="10420" xr2:uid="{E3494229-D9FD-4DE9-9D4A-CB02B760B805}"/>
  </bookViews>
  <sheets>
    <sheet name="weight" sheetId="5" r:id="rId1"/>
    <sheet name="calculating weight process" sheetId="1" r:id="rId2"/>
    <sheet name="2020年统计年鉴比例（2019年数据）" sheetId="3" r:id="rId3"/>
    <sheet name="quotas (n=10000)" sheetId="2" r:id="rId4"/>
    <sheet name="quotas (n=12000)" sheetId="4" r:id="rId5"/>
  </sheets>
  <definedNames>
    <definedName name="_xlnm._FilterDatabase" localSheetId="1" hidden="1">'calculating weight process'!$A$1:$E$32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S3" i="1"/>
  <c r="T3" i="1"/>
  <c r="U3" i="1"/>
  <c r="R4" i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S2" i="1"/>
  <c r="T2" i="1"/>
  <c r="U2" i="1"/>
  <c r="R2" i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4" i="3"/>
  <c r="C35" i="3"/>
  <c r="Q32" i="1"/>
</calcChain>
</file>

<file path=xl/sharedStrings.xml><?xml version="1.0" encoding="utf-8"?>
<sst xmlns="http://schemas.openxmlformats.org/spreadsheetml/2006/main" count="318" uniqueCount="85">
  <si>
    <t>province</t>
    <phoneticPr fontId="3" type="noConversion"/>
  </si>
  <si>
    <t>北京</t>
  </si>
  <si>
    <t>上海</t>
  </si>
  <si>
    <t>天津</t>
  </si>
  <si>
    <t>重庆</t>
  </si>
  <si>
    <t>辽宁</t>
  </si>
  <si>
    <t>吉林</t>
  </si>
  <si>
    <t>黑龙江</t>
  </si>
  <si>
    <t>河北</t>
  </si>
  <si>
    <t>山西</t>
  </si>
  <si>
    <t>内蒙古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</si>
  <si>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</si>
  <si>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</si>
  <si>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</si>
  <si>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</si>
  <si>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</si>
  <si>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</si>
  <si>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</si>
  <si>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</si>
  <si>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</si>
  <si>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</si>
  <si>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</si>
  <si>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</si>
  <si>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</si>
  <si>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</si>
  <si>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</si>
  <si>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</si>
  <si>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</si>
  <si>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</si>
  <si>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</si>
  <si>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</si>
  <si>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</si>
  <si>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城市男</t>
  </si>
  <si>
    <t>城市女</t>
  </si>
  <si>
    <t>农村男</t>
  </si>
  <si>
    <t>农村女</t>
  </si>
  <si>
    <t>参考统计年鉴的比例</t>
  </si>
  <si>
    <t>Population</t>
  </si>
  <si>
    <t>Sex ratio</t>
  </si>
  <si>
    <t>City %</t>
  </si>
  <si>
    <t>Rural %</t>
  </si>
  <si>
    <t>(million)</t>
  </si>
  <si>
    <t>(female=100)</t>
  </si>
  <si>
    <t>与配额省份的序号关系</t>
    <phoneticPr fontId="3" type="noConversion"/>
  </si>
  <si>
    <t>省份</t>
    <phoneticPr fontId="3" type="noConversion"/>
  </si>
  <si>
    <t>计算得到各层理论比例</t>
    <phoneticPr fontId="3" type="noConversion"/>
  </si>
  <si>
    <t>年龄比例 （&gt;=18yrs)</t>
    <phoneticPr fontId="3" type="noConversion"/>
  </si>
  <si>
    <t>weight</t>
    <phoneticPr fontId="3" type="noConversion"/>
  </si>
  <si>
    <t>sum</t>
    <phoneticPr fontId="3" type="noConversion"/>
  </si>
  <si>
    <t>province_id</t>
    <phoneticPr fontId="3" type="noConversion"/>
  </si>
  <si>
    <t>residence</t>
    <phoneticPr fontId="3" type="noConversion"/>
  </si>
  <si>
    <t>gender</t>
    <phoneticPr fontId="3" type="noConversion"/>
  </si>
  <si>
    <t>weight</t>
    <phoneticPr fontId="3" type="noConversion"/>
  </si>
  <si>
    <t>Beijing</t>
    <phoneticPr fontId="3" type="noConversion"/>
  </si>
  <si>
    <t>Shanghai</t>
    <phoneticPr fontId="3" type="noConversion"/>
  </si>
  <si>
    <t>Tianjin</t>
    <phoneticPr fontId="3" type="noConversion"/>
  </si>
  <si>
    <t>Chongqing</t>
    <phoneticPr fontId="3" type="noConversion"/>
  </si>
  <si>
    <t>Liaoning</t>
    <phoneticPr fontId="3" type="noConversion"/>
  </si>
  <si>
    <t>Heilongjiang</t>
    <phoneticPr fontId="3" type="noConversion"/>
  </si>
  <si>
    <t>Shanxi</t>
    <phoneticPr fontId="3" type="noConversion"/>
  </si>
  <si>
    <t>Neimengol</t>
    <phoneticPr fontId="3" type="noConversion"/>
  </si>
  <si>
    <t>Jiangsu</t>
    <phoneticPr fontId="3" type="noConversion"/>
  </si>
  <si>
    <t>Zhejiang</t>
    <phoneticPr fontId="3" type="noConversion"/>
  </si>
  <si>
    <t>Anhui</t>
    <phoneticPr fontId="3" type="noConversion"/>
  </si>
  <si>
    <t>Fujian</t>
    <phoneticPr fontId="3" type="noConversion"/>
  </si>
  <si>
    <t>Jiangxi</t>
    <phoneticPr fontId="3" type="noConversion"/>
  </si>
  <si>
    <t>Shandong</t>
    <phoneticPr fontId="3" type="noConversion"/>
  </si>
  <si>
    <t>Henan</t>
    <phoneticPr fontId="3" type="noConversion"/>
  </si>
  <si>
    <t>Hubei</t>
    <phoneticPr fontId="3" type="noConversion"/>
  </si>
  <si>
    <t>Hunan</t>
    <phoneticPr fontId="3" type="noConversion"/>
  </si>
  <si>
    <t>Guangdong</t>
    <phoneticPr fontId="3" type="noConversion"/>
  </si>
  <si>
    <t>Guangxi</t>
    <phoneticPr fontId="3" type="noConversion"/>
  </si>
  <si>
    <t>Hainan</t>
    <phoneticPr fontId="3" type="noConversion"/>
  </si>
  <si>
    <t>Sichuan</t>
    <phoneticPr fontId="3" type="noConversion"/>
  </si>
  <si>
    <t>Guizhou</t>
    <phoneticPr fontId="3" type="noConversion"/>
  </si>
  <si>
    <t>Yunnan</t>
    <phoneticPr fontId="3" type="noConversion"/>
  </si>
  <si>
    <t>Shaanxi</t>
    <phoneticPr fontId="3" type="noConversion"/>
  </si>
  <si>
    <t>Gansu</t>
    <phoneticPr fontId="3" type="noConversion"/>
  </si>
  <si>
    <t>Qinghai</t>
    <phoneticPr fontId="3" type="noConversion"/>
  </si>
  <si>
    <t>Ningxia</t>
    <phoneticPr fontId="3" type="noConversion"/>
  </si>
  <si>
    <t>Xinjiang</t>
    <phoneticPr fontId="3" type="noConversion"/>
  </si>
  <si>
    <t>Jilin</t>
    <phoneticPr fontId="3" type="noConversion"/>
  </si>
  <si>
    <t>Hebei</t>
    <phoneticPr fontId="3" type="noConversion"/>
  </si>
  <si>
    <t>Tibet</t>
    <phoneticPr fontId="3" type="noConversion"/>
  </si>
  <si>
    <t>Neimongol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</si>
</sst>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.5"/>
      <color rgb="FF000000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.5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1" fillId="0" borderId="0"/>
  </cellStyleXfs>
  <cellXfs count="48">
    <xf numFmtId="0" fontId="0" fillId="0" borderId="0" xfId="0">
      <alignment vertical="center"/>
    </xf>
    <xf numFmtId="0" fontId="4" fillId="0" borderId="0" xfId="0" applyFont="1" applyFill="1" applyAlignment="1">
      <alignment horizontal="center" wrapText="1" readingOrder="1"/>
    </xf>
    <xf numFmtId="0" fontId="5" fillId="0" borderId="0" xfId="0" applyFont="1">
      <alignment vertical="center"/>
    </xf>
    <xf numFmtId="0" fontId="1" fillId="0" borderId="0" xfId="3"/>
    <xf numFmtId="0" fontId="6" fillId="0" borderId="1" xfId="3" applyFont="1" applyBorder="1" applyAlignment="1">
      <alignment horizontal="left" wrapText="1" readingOrder="1"/>
    </xf>
    <xf numFmtId="0" fontId="1" fillId="0" borderId="1" xfId="3" applyBorder="1"/>
    <xf numFmtId="0" fontId="7" fillId="0" borderId="0" xfId="0" applyFont="1" applyFill="1">
      <alignment vertical="center"/>
    </xf>
    <xf numFmtId="0" fontId="10" fillId="0" borderId="1" xfId="3" applyFont="1" applyFill="1" applyBorder="1" applyAlignment="1">
      <alignment horizontal="left" wrapText="1" readingOrder="1"/>
    </xf>
    <xf numFmtId="0" fontId="10" fillId="0" borderId="1" xfId="3" applyFont="1" applyFill="1" applyBorder="1" applyAlignment="1">
      <alignment horizontal="center" wrapText="1" readingOrder="1"/>
    </xf>
    <xf numFmtId="0" fontId="10" fillId="0" borderId="1" xfId="3" applyFont="1" applyFill="1" applyBorder="1" applyAlignment="1">
      <alignment horizontal="center" vertical="center" wrapText="1" readingOrder="1"/>
    </xf>
    <xf numFmtId="10" fontId="10" fillId="0" borderId="1" xfId="3" applyNumberFormat="1" applyFont="1" applyFill="1" applyBorder="1" applyAlignment="1">
      <alignment horizontal="center" wrapText="1" readingOrder="1"/>
    </xf>
    <xf numFmtId="0" fontId="8" fillId="0" borderId="1" xfId="3" applyFont="1" applyFill="1" applyBorder="1" applyAlignment="1">
      <alignment horizontal="center" vertical="center" wrapText="1" readingOrder="1"/>
    </xf>
    <xf numFmtId="0" fontId="9" fillId="0" borderId="1" xfId="3" applyFont="1" applyFill="1" applyBorder="1" applyAlignment="1">
      <alignment horizontal="center" vertical="center" wrapText="1" readingOrder="1"/>
    </xf>
    <xf numFmtId="0" fontId="7" fillId="0" borderId="3" xfId="3" applyFont="1" applyFill="1" applyBorder="1"/>
    <xf numFmtId="0" fontId="7" fillId="0" borderId="5" xfId="3" applyFont="1" applyBorder="1"/>
    <xf numFmtId="10" fontId="10" fillId="0" borderId="6" xfId="3" applyNumberFormat="1" applyFont="1" applyFill="1" applyBorder="1" applyAlignment="1">
      <alignment horizontal="center" wrapText="1" readingOrder="1"/>
    </xf>
    <xf numFmtId="0" fontId="7" fillId="0" borderId="7" xfId="3" applyFont="1" applyBorder="1"/>
    <xf numFmtId="0" fontId="10" fillId="0" borderId="8" xfId="3" applyFont="1" applyFill="1" applyBorder="1" applyAlignment="1">
      <alignment horizontal="left" wrapText="1" readingOrder="1"/>
    </xf>
    <xf numFmtId="0" fontId="10" fillId="0" borderId="8" xfId="3" applyFont="1" applyFill="1" applyBorder="1" applyAlignment="1">
      <alignment horizontal="center" wrapText="1" readingOrder="1"/>
    </xf>
    <xf numFmtId="0" fontId="10" fillId="0" borderId="8" xfId="3" applyFont="1" applyFill="1" applyBorder="1" applyAlignment="1">
      <alignment horizontal="center" vertical="center" wrapText="1" readingOrder="1"/>
    </xf>
    <xf numFmtId="10" fontId="10" fillId="0" borderId="8" xfId="3" applyNumberFormat="1" applyFont="1" applyFill="1" applyBorder="1" applyAlignment="1">
      <alignment horizontal="center" wrapText="1" readingOrder="1"/>
    </xf>
    <xf numFmtId="10" fontId="7" fillId="0" borderId="0" xfId="0" applyNumberFormat="1" applyFont="1" applyFill="1">
      <alignment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>
      <alignment vertical="center"/>
    </xf>
    <xf numFmtId="0" fontId="4" fillId="0" borderId="5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center" vertical="center" wrapText="1" readingOrder="1"/>
    </xf>
    <xf numFmtId="0" fontId="7" fillId="0" borderId="5" xfId="0" applyFont="1" applyFill="1" applyBorder="1">
      <alignment vertical="center"/>
    </xf>
    <xf numFmtId="0" fontId="7" fillId="0" borderId="6" xfId="0" applyFont="1" applyFill="1" applyBorder="1">
      <alignment vertical="center"/>
    </xf>
    <xf numFmtId="0" fontId="7" fillId="0" borderId="7" xfId="0" applyFont="1" applyFill="1" applyBorder="1">
      <alignment vertical="center"/>
    </xf>
    <xf numFmtId="0" fontId="7" fillId="0" borderId="8" xfId="0" applyFont="1" applyFill="1" applyBorder="1">
      <alignment vertical="center"/>
    </xf>
    <xf numFmtId="0" fontId="7" fillId="0" borderId="9" xfId="0" applyFont="1" applyFill="1" applyBorder="1">
      <alignment vertical="center"/>
    </xf>
    <xf numFmtId="176" fontId="0" fillId="0" borderId="0" xfId="0" applyNumberFormat="1">
      <alignment vertical="center"/>
    </xf>
    <xf numFmtId="0" fontId="6" fillId="0" borderId="1" xfId="0" applyFont="1" applyBorder="1" applyAlignment="1">
      <alignment horizontal="left" wrapText="1" readingOrder="1"/>
    </xf>
    <xf numFmtId="0" fontId="5" fillId="0" borderId="0" xfId="0" applyFont="1" applyAlignment="1">
      <alignment horizontal="right" vertical="center"/>
    </xf>
    <xf numFmtId="0" fontId="4" fillId="0" borderId="0" xfId="0" applyFont="1" applyFill="1" applyAlignment="1">
      <alignment horizontal="right" wrapText="1" readingOrder="1"/>
    </xf>
    <xf numFmtId="11" fontId="4" fillId="0" borderId="0" xfId="0" applyNumberFormat="1" applyFont="1" applyFill="1" applyAlignment="1">
      <alignment horizontal="right" wrapText="1" readingOrder="1"/>
    </xf>
    <xf numFmtId="11" fontId="5" fillId="0" borderId="0" xfId="0" applyNumberFormat="1" applyFont="1" applyAlignment="1">
      <alignment horizontal="righ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3" xfId="3" applyFont="1" applyFill="1" applyBorder="1" applyAlignment="1">
      <alignment horizontal="center"/>
    </xf>
    <xf numFmtId="0" fontId="7" fillId="0" borderId="4" xfId="3" applyFont="1" applyFill="1" applyBorder="1" applyAlignment="1">
      <alignment horizontal="center"/>
    </xf>
    <xf numFmtId="0" fontId="8" fillId="0" borderId="1" xfId="3" applyFont="1" applyFill="1" applyBorder="1" applyAlignment="1">
      <alignment horizontal="center" vertical="center" wrapText="1" readingOrder="1"/>
    </xf>
    <xf numFmtId="0" fontId="8" fillId="0" borderId="6" xfId="3" applyFont="1" applyFill="1" applyBorder="1" applyAlignment="1">
      <alignment horizontal="center" vertical="center" wrapText="1" readingOrder="1"/>
    </xf>
  </cellXfs>
  <cellStyles count="4">
    <cellStyle name="style1592481274120" xfId="1" xr:uid="{B76F11FF-A710-4CBD-A430-AB7CBEDC3AA2}"/>
    <cellStyle name="style1592481275059" xfId="2" xr:uid="{1AA7FB69-95B6-43A1-AA29-E19E8DED080D}"/>
    <cellStyle name="常规" xfId="0" builtinId="0"/>
    <cellStyle name="常规 2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4305-0F08-4D10-B656-4B84F919827B}">
  <dimension ref="A1:H125"/>
  <sheetViews>
    <sheetView tabSelected="1" workbookViewId="0">
      <selection activeCell="G12" sqref="G12"/>
    </sheetView>
  </sheetViews>
  <sheetFormatPr defaultRowHeight="14" x14ac:dyDescent="0.3"/>
  <cols>
    <col min="1" max="1" width="10.1640625" style="33" customWidth="1"/>
    <col min="2" max="4" width="11.4140625" style="33" customWidth="1"/>
    <col min="5" max="5" width="12.6640625" style="36" bestFit="1" customWidth="1"/>
    <col min="6" max="6" width="12.6640625" style="33" bestFit="1" customWidth="1"/>
    <col min="7" max="16384" width="8.6640625" style="33"/>
  </cols>
  <sheetData>
    <row r="1" spans="1:8" x14ac:dyDescent="0.25">
      <c r="A1" s="33" t="s">
        <v>49</v>
      </c>
      <c r="B1" s="33" t="s">
        <v>0</v>
      </c>
      <c r="C1" s="33" t="s">
        <v>50</v>
      </c>
      <c r="D1" s="33" t="s">
        <v>51</v>
      </c>
      <c r="E1" s="35" t="s">
        <v>52</v>
      </c>
      <c r="F1" s="34"/>
      <c r="G1" s="34"/>
      <c r="H1" s="34"/>
    </row>
    <row r="2" spans="1:8" x14ac:dyDescent="0.3">
      <c r="A2" s="33">
        <v>28</v>
      </c>
      <c r="B2" s="33" t="s">
        <v>53</v>
      </c>
      <c r="C2" s="33">
        <v>1</v>
      </c>
      <c r="D2" s="33">
        <v>1</v>
      </c>
      <c r="E2" s="36">
        <v>2.8099999999999999E-5</v>
      </c>
      <c r="F2" s="36"/>
    </row>
    <row r="3" spans="1:8" x14ac:dyDescent="0.3">
      <c r="A3" s="33">
        <v>29</v>
      </c>
      <c r="B3" s="33" t="s">
        <v>54</v>
      </c>
      <c r="C3" s="33">
        <v>1</v>
      </c>
      <c r="D3" s="33">
        <v>1</v>
      </c>
      <c r="E3" s="36">
        <v>3.2199999999999997E-5</v>
      </c>
      <c r="F3" s="36"/>
    </row>
    <row r="4" spans="1:8" x14ac:dyDescent="0.3">
      <c r="A4" s="33">
        <v>30</v>
      </c>
      <c r="B4" s="33" t="s">
        <v>55</v>
      </c>
      <c r="C4" s="33">
        <v>1</v>
      </c>
      <c r="D4" s="33">
        <v>1</v>
      </c>
      <c r="E4" s="36">
        <v>2.4899999999999999E-5</v>
      </c>
      <c r="F4" s="36"/>
    </row>
    <row r="5" spans="1:8" x14ac:dyDescent="0.3">
      <c r="A5" s="33">
        <v>31</v>
      </c>
      <c r="B5" s="33" t="s">
        <v>56</v>
      </c>
      <c r="C5" s="33">
        <v>1</v>
      </c>
      <c r="D5" s="33">
        <v>1</v>
      </c>
      <c r="E5" s="36">
        <v>4.9499999999999997E-5</v>
      </c>
      <c r="F5" s="36"/>
    </row>
    <row r="6" spans="1:8" x14ac:dyDescent="0.3">
      <c r="A6" s="33">
        <v>3</v>
      </c>
      <c r="B6" s="33" t="s">
        <v>57</v>
      </c>
      <c r="C6" s="33">
        <v>1</v>
      </c>
      <c r="D6" s="33">
        <v>1</v>
      </c>
      <c r="E6" s="36">
        <v>6.2100000000000005E-5</v>
      </c>
      <c r="F6" s="36"/>
    </row>
    <row r="7" spans="1:8" x14ac:dyDescent="0.3">
      <c r="A7" s="33">
        <v>4</v>
      </c>
      <c r="B7" s="33" t="s">
        <v>81</v>
      </c>
      <c r="C7" s="33">
        <v>1</v>
      </c>
      <c r="D7" s="33">
        <v>1</v>
      </c>
      <c r="E7" s="36">
        <v>4.2700000000000001E-5</v>
      </c>
      <c r="F7" s="36"/>
    </row>
    <row r="8" spans="1:8" x14ac:dyDescent="0.3">
      <c r="A8" s="33">
        <v>5</v>
      </c>
      <c r="B8" s="33" t="s">
        <v>58</v>
      </c>
      <c r="C8" s="33">
        <v>1</v>
      </c>
      <c r="D8" s="33">
        <v>1</v>
      </c>
      <c r="E8" s="36">
        <v>5.9500000000000003E-5</v>
      </c>
      <c r="F8" s="36"/>
    </row>
    <row r="9" spans="1:8" x14ac:dyDescent="0.3">
      <c r="A9" s="33">
        <v>1</v>
      </c>
      <c r="B9" s="33" t="s">
        <v>82</v>
      </c>
      <c r="C9" s="33">
        <v>1</v>
      </c>
      <c r="D9" s="33">
        <v>1</v>
      </c>
      <c r="E9" s="36">
        <v>1.0840000000000001E-4</v>
      </c>
      <c r="F9" s="36"/>
    </row>
    <row r="10" spans="1:8" x14ac:dyDescent="0.3">
      <c r="A10" s="33">
        <v>2</v>
      </c>
      <c r="B10" s="33" t="s">
        <v>59</v>
      </c>
      <c r="C10" s="33">
        <v>1</v>
      </c>
      <c r="D10" s="33">
        <v>1</v>
      </c>
      <c r="E10" s="36">
        <v>5.91E-5</v>
      </c>
      <c r="F10" s="36"/>
    </row>
    <row r="11" spans="1:8" x14ac:dyDescent="0.3">
      <c r="A11" s="33">
        <v>23</v>
      </c>
      <c r="B11" s="33" t="s">
        <v>84</v>
      </c>
      <c r="C11" s="33">
        <v>1</v>
      </c>
      <c r="D11" s="33">
        <v>1</v>
      </c>
      <c r="E11" s="36">
        <v>4.0299999999999997E-5</v>
      </c>
      <c r="F11" s="36"/>
    </row>
    <row r="12" spans="1:8" x14ac:dyDescent="0.3">
      <c r="A12" s="33">
        <v>6</v>
      </c>
      <c r="B12" s="33" t="s">
        <v>61</v>
      </c>
      <c r="C12" s="33">
        <v>1</v>
      </c>
      <c r="D12" s="33">
        <v>1</v>
      </c>
      <c r="E12" s="36">
        <v>1.1519999999999999E-4</v>
      </c>
      <c r="F12" s="36"/>
    </row>
    <row r="13" spans="1:8" x14ac:dyDescent="0.3">
      <c r="A13" s="33">
        <v>7</v>
      </c>
      <c r="B13" s="33" t="s">
        <v>62</v>
      </c>
      <c r="C13" s="33">
        <v>1</v>
      </c>
      <c r="D13" s="33">
        <v>1</v>
      </c>
      <c r="E13" s="36">
        <v>8.3499999999999997E-5</v>
      </c>
      <c r="F13" s="36"/>
    </row>
    <row r="14" spans="1:8" x14ac:dyDescent="0.3">
      <c r="A14" s="33">
        <v>8</v>
      </c>
      <c r="B14" s="33" t="s">
        <v>63</v>
      </c>
      <c r="C14" s="33">
        <v>1</v>
      </c>
      <c r="D14" s="33">
        <v>1</v>
      </c>
      <c r="E14" s="36">
        <v>9.09E-5</v>
      </c>
      <c r="F14" s="36"/>
    </row>
    <row r="15" spans="1:8" x14ac:dyDescent="0.3">
      <c r="A15" s="33">
        <v>9</v>
      </c>
      <c r="B15" s="33" t="s">
        <v>64</v>
      </c>
      <c r="C15" s="33">
        <v>1</v>
      </c>
      <c r="D15" s="33">
        <v>1</v>
      </c>
      <c r="E15" s="36">
        <v>6.3E-5</v>
      </c>
      <c r="F15" s="36"/>
    </row>
    <row r="16" spans="1:8" x14ac:dyDescent="0.3">
      <c r="A16" s="33">
        <v>10</v>
      </c>
      <c r="B16" s="33" t="s">
        <v>65</v>
      </c>
      <c r="C16" s="33">
        <v>1</v>
      </c>
      <c r="D16" s="33">
        <v>1</v>
      </c>
      <c r="E16" s="36">
        <v>6.6600000000000006E-5</v>
      </c>
      <c r="F16" s="36"/>
    </row>
    <row r="17" spans="1:6" x14ac:dyDescent="0.3">
      <c r="A17" s="33">
        <v>11</v>
      </c>
      <c r="B17" s="33" t="s">
        <v>66</v>
      </c>
      <c r="C17" s="33">
        <v>1</v>
      </c>
      <c r="D17" s="33">
        <v>1</v>
      </c>
      <c r="E17" s="36">
        <v>1.437E-4</v>
      </c>
      <c r="F17" s="36"/>
    </row>
    <row r="18" spans="1:6" x14ac:dyDescent="0.3">
      <c r="A18" s="33">
        <v>12</v>
      </c>
      <c r="B18" s="33" t="s">
        <v>67</v>
      </c>
      <c r="C18" s="33">
        <v>1</v>
      </c>
      <c r="D18" s="33">
        <v>1</v>
      </c>
      <c r="E18" s="36">
        <v>1.3760000000000001E-4</v>
      </c>
      <c r="F18" s="36"/>
    </row>
    <row r="19" spans="1:6" x14ac:dyDescent="0.3">
      <c r="A19" s="33">
        <v>13</v>
      </c>
      <c r="B19" s="33" t="s">
        <v>68</v>
      </c>
      <c r="C19" s="33">
        <v>1</v>
      </c>
      <c r="D19" s="33">
        <v>1</v>
      </c>
      <c r="E19" s="36">
        <v>8.4599999999999996E-5</v>
      </c>
      <c r="F19" s="36"/>
    </row>
    <row r="20" spans="1:6" x14ac:dyDescent="0.3">
      <c r="A20" s="33">
        <v>14</v>
      </c>
      <c r="B20" s="33" t="s">
        <v>69</v>
      </c>
      <c r="C20" s="33">
        <v>1</v>
      </c>
      <c r="D20" s="33">
        <v>1</v>
      </c>
      <c r="E20" s="36">
        <v>9.87E-5</v>
      </c>
      <c r="F20" s="36"/>
    </row>
    <row r="21" spans="1:6" x14ac:dyDescent="0.3">
      <c r="A21" s="33">
        <v>15</v>
      </c>
      <c r="B21" s="33" t="s">
        <v>70</v>
      </c>
      <c r="C21" s="33">
        <v>1</v>
      </c>
      <c r="D21" s="33">
        <v>1</v>
      </c>
      <c r="E21" s="36">
        <v>1.6449999999999999E-4</v>
      </c>
      <c r="F21" s="36"/>
    </row>
    <row r="22" spans="1:6" x14ac:dyDescent="0.3">
      <c r="A22" s="33">
        <v>24</v>
      </c>
      <c r="B22" s="33" t="s">
        <v>71</v>
      </c>
      <c r="C22" s="33">
        <v>1</v>
      </c>
      <c r="D22" s="33">
        <v>1</v>
      </c>
      <c r="E22" s="36">
        <v>7.08E-5</v>
      </c>
      <c r="F22" s="36"/>
    </row>
    <row r="23" spans="1:6" x14ac:dyDescent="0.3">
      <c r="A23" s="33">
        <v>16</v>
      </c>
      <c r="B23" s="33" t="s">
        <v>72</v>
      </c>
      <c r="C23" s="33">
        <v>1</v>
      </c>
      <c r="D23" s="33">
        <v>1</v>
      </c>
      <c r="E23" s="36">
        <v>1.5E-5</v>
      </c>
      <c r="F23" s="36"/>
    </row>
    <row r="24" spans="1:6" x14ac:dyDescent="0.3">
      <c r="A24" s="33">
        <v>17</v>
      </c>
      <c r="B24" s="33" t="s">
        <v>73</v>
      </c>
      <c r="C24" s="33">
        <v>1</v>
      </c>
      <c r="D24" s="33">
        <v>1</v>
      </c>
      <c r="E24" s="36">
        <v>1.195E-4</v>
      </c>
      <c r="F24" s="36"/>
    </row>
    <row r="25" spans="1:6" x14ac:dyDescent="0.3">
      <c r="A25" s="33">
        <v>18</v>
      </c>
      <c r="B25" s="33" t="s">
        <v>74</v>
      </c>
      <c r="C25" s="33">
        <v>1</v>
      </c>
      <c r="D25" s="33">
        <v>1</v>
      </c>
      <c r="E25" s="36">
        <v>5.7500000000000002E-5</v>
      </c>
      <c r="F25" s="36"/>
    </row>
    <row r="26" spans="1:6" x14ac:dyDescent="0.3">
      <c r="A26" s="33">
        <v>19</v>
      </c>
      <c r="B26" s="33" t="s">
        <v>75</v>
      </c>
      <c r="C26" s="33">
        <v>1</v>
      </c>
      <c r="D26" s="33">
        <v>1</v>
      </c>
      <c r="E26" s="36">
        <v>6.9300000000000004E-5</v>
      </c>
      <c r="F26" s="36"/>
    </row>
    <row r="27" spans="1:6" x14ac:dyDescent="0.3">
      <c r="A27" s="33">
        <v>25</v>
      </c>
      <c r="B27" s="33" t="s">
        <v>83</v>
      </c>
      <c r="C27" s="33">
        <v>1</v>
      </c>
      <c r="D27" s="33">
        <v>1</v>
      </c>
      <c r="E27" s="36">
        <v>5.5999999999999997E-6</v>
      </c>
      <c r="F27" s="36"/>
    </row>
    <row r="28" spans="1:6" x14ac:dyDescent="0.3">
      <c r="A28" s="33">
        <v>20</v>
      </c>
      <c r="B28" s="33" t="s">
        <v>76</v>
      </c>
      <c r="C28" s="33">
        <v>1</v>
      </c>
      <c r="D28" s="33">
        <v>1</v>
      </c>
      <c r="E28" s="36">
        <v>6.1500000000000004E-5</v>
      </c>
      <c r="F28" s="36"/>
    </row>
    <row r="29" spans="1:6" x14ac:dyDescent="0.3">
      <c r="A29" s="33">
        <v>21</v>
      </c>
      <c r="B29" s="33" t="s">
        <v>77</v>
      </c>
      <c r="C29" s="33">
        <v>1</v>
      </c>
      <c r="D29" s="33">
        <v>1</v>
      </c>
      <c r="E29" s="36">
        <v>4.1999999999999998E-5</v>
      </c>
      <c r="F29" s="36"/>
    </row>
    <row r="30" spans="1:6" x14ac:dyDescent="0.3">
      <c r="A30" s="33">
        <v>22</v>
      </c>
      <c r="B30" s="33" t="s">
        <v>78</v>
      </c>
      <c r="C30" s="33">
        <v>1</v>
      </c>
      <c r="D30" s="33">
        <v>1</v>
      </c>
      <c r="E30" s="36">
        <v>9.5999999999999996E-6</v>
      </c>
      <c r="F30" s="36"/>
    </row>
    <row r="31" spans="1:6" x14ac:dyDescent="0.3">
      <c r="A31" s="33">
        <v>26</v>
      </c>
      <c r="B31" s="33" t="s">
        <v>79</v>
      </c>
      <c r="C31" s="33">
        <v>1</v>
      </c>
      <c r="D31" s="33">
        <v>1</v>
      </c>
      <c r="E31" s="36">
        <v>1.1E-5</v>
      </c>
      <c r="F31" s="36"/>
    </row>
    <row r="32" spans="1:6" x14ac:dyDescent="0.3">
      <c r="A32" s="33">
        <v>27</v>
      </c>
      <c r="B32" s="33" t="s">
        <v>80</v>
      </c>
      <c r="C32" s="33">
        <v>1</v>
      </c>
      <c r="D32" s="33">
        <v>1</v>
      </c>
      <c r="E32" s="36">
        <v>4.0000000000000003E-5</v>
      </c>
      <c r="F32" s="36"/>
    </row>
    <row r="33" spans="1:6" x14ac:dyDescent="0.3">
      <c r="A33" s="33">
        <v>28</v>
      </c>
      <c r="B33" s="33" t="s">
        <v>53</v>
      </c>
      <c r="C33" s="33">
        <v>1</v>
      </c>
      <c r="D33" s="33">
        <v>2</v>
      </c>
      <c r="E33" s="36">
        <v>2.8E-5</v>
      </c>
      <c r="F33" s="36"/>
    </row>
    <row r="34" spans="1:6" x14ac:dyDescent="0.3">
      <c r="A34" s="33">
        <v>29</v>
      </c>
      <c r="B34" s="33" t="s">
        <v>54</v>
      </c>
      <c r="C34" s="33">
        <v>1</v>
      </c>
      <c r="D34" s="33">
        <v>2</v>
      </c>
      <c r="E34" s="36">
        <v>3.2199999999999997E-5</v>
      </c>
      <c r="F34" s="36"/>
    </row>
    <row r="35" spans="1:6" x14ac:dyDescent="0.3">
      <c r="A35" s="33">
        <v>30</v>
      </c>
      <c r="B35" s="33" t="s">
        <v>55</v>
      </c>
      <c r="C35" s="33">
        <v>1</v>
      </c>
      <c r="D35" s="33">
        <v>2</v>
      </c>
      <c r="E35" s="36">
        <v>2.4700000000000001E-5</v>
      </c>
      <c r="F35" s="36"/>
    </row>
    <row r="36" spans="1:6" x14ac:dyDescent="0.3">
      <c r="A36" s="33">
        <v>31</v>
      </c>
      <c r="B36" s="33" t="s">
        <v>56</v>
      </c>
      <c r="C36" s="33">
        <v>1</v>
      </c>
      <c r="D36" s="33">
        <v>2</v>
      </c>
      <c r="E36" s="36">
        <v>4.9499999999999997E-5</v>
      </c>
      <c r="F36" s="36"/>
    </row>
    <row r="37" spans="1:6" x14ac:dyDescent="0.3">
      <c r="A37" s="33">
        <v>3</v>
      </c>
      <c r="B37" s="33" t="s">
        <v>57</v>
      </c>
      <c r="C37" s="33">
        <v>1</v>
      </c>
      <c r="D37" s="33">
        <v>2</v>
      </c>
      <c r="E37" s="36">
        <v>6.2100000000000005E-5</v>
      </c>
      <c r="F37" s="36"/>
    </row>
    <row r="38" spans="1:6" x14ac:dyDescent="0.3">
      <c r="A38" s="33">
        <v>4</v>
      </c>
      <c r="B38" s="33" t="s">
        <v>81</v>
      </c>
      <c r="C38" s="33">
        <v>1</v>
      </c>
      <c r="D38" s="33">
        <v>2</v>
      </c>
      <c r="E38" s="36">
        <v>4.2700000000000001E-5</v>
      </c>
      <c r="F38" s="36"/>
    </row>
    <row r="39" spans="1:6" x14ac:dyDescent="0.3">
      <c r="A39" s="33">
        <v>5</v>
      </c>
      <c r="B39" s="33" t="s">
        <v>58</v>
      </c>
      <c r="C39" s="33">
        <v>1</v>
      </c>
      <c r="D39" s="33">
        <v>2</v>
      </c>
      <c r="E39" s="36">
        <v>5.9500000000000003E-5</v>
      </c>
      <c r="F39" s="36"/>
    </row>
    <row r="40" spans="1:6" x14ac:dyDescent="0.3">
      <c r="A40" s="33">
        <v>1</v>
      </c>
      <c r="B40" s="33" t="s">
        <v>82</v>
      </c>
      <c r="C40" s="33">
        <v>1</v>
      </c>
      <c r="D40" s="33">
        <v>2</v>
      </c>
      <c r="E40" s="36">
        <v>1.0840000000000001E-4</v>
      </c>
      <c r="F40" s="36"/>
    </row>
    <row r="41" spans="1:6" x14ac:dyDescent="0.3">
      <c r="A41" s="33">
        <v>2</v>
      </c>
      <c r="B41" s="33" t="s">
        <v>59</v>
      </c>
      <c r="C41" s="33">
        <v>1</v>
      </c>
      <c r="D41" s="33">
        <v>2</v>
      </c>
      <c r="E41" s="36">
        <v>5.91E-5</v>
      </c>
      <c r="F41" s="36"/>
    </row>
    <row r="42" spans="1:6" x14ac:dyDescent="0.3">
      <c r="A42" s="33">
        <v>23</v>
      </c>
      <c r="B42" s="33" t="s">
        <v>60</v>
      </c>
      <c r="C42" s="33">
        <v>1</v>
      </c>
      <c r="D42" s="33">
        <v>2</v>
      </c>
      <c r="E42" s="36">
        <v>4.0299999999999997E-5</v>
      </c>
      <c r="F42" s="36"/>
    </row>
    <row r="43" spans="1:6" x14ac:dyDescent="0.3">
      <c r="A43" s="33">
        <v>6</v>
      </c>
      <c r="B43" s="33" t="s">
        <v>61</v>
      </c>
      <c r="C43" s="33">
        <v>1</v>
      </c>
      <c r="D43" s="33">
        <v>2</v>
      </c>
      <c r="E43" s="36">
        <v>1.1519999999999999E-4</v>
      </c>
      <c r="F43" s="36"/>
    </row>
    <row r="44" spans="1:6" x14ac:dyDescent="0.3">
      <c r="A44" s="33">
        <v>7</v>
      </c>
      <c r="B44" s="33" t="s">
        <v>62</v>
      </c>
      <c r="C44" s="33">
        <v>1</v>
      </c>
      <c r="D44" s="33">
        <v>2</v>
      </c>
      <c r="E44" s="36">
        <v>8.3499999999999997E-5</v>
      </c>
      <c r="F44" s="36"/>
    </row>
    <row r="45" spans="1:6" x14ac:dyDescent="0.3">
      <c r="A45" s="33">
        <v>8</v>
      </c>
      <c r="B45" s="33" t="s">
        <v>63</v>
      </c>
      <c r="C45" s="33">
        <v>1</v>
      </c>
      <c r="D45" s="33">
        <v>2</v>
      </c>
      <c r="E45" s="36">
        <v>9.09E-5</v>
      </c>
      <c r="F45" s="36"/>
    </row>
    <row r="46" spans="1:6" x14ac:dyDescent="0.3">
      <c r="A46" s="33">
        <v>9</v>
      </c>
      <c r="B46" s="33" t="s">
        <v>64</v>
      </c>
      <c r="C46" s="33">
        <v>1</v>
      </c>
      <c r="D46" s="33">
        <v>2</v>
      </c>
      <c r="E46" s="36">
        <v>6.3E-5</v>
      </c>
      <c r="F46" s="36"/>
    </row>
    <row r="47" spans="1:6" x14ac:dyDescent="0.3">
      <c r="A47" s="33">
        <v>10</v>
      </c>
      <c r="B47" s="33" t="s">
        <v>65</v>
      </c>
      <c r="C47" s="33">
        <v>1</v>
      </c>
      <c r="D47" s="33">
        <v>2</v>
      </c>
      <c r="E47" s="36">
        <v>6.6600000000000006E-5</v>
      </c>
      <c r="F47" s="36"/>
    </row>
    <row r="48" spans="1:6" x14ac:dyDescent="0.3">
      <c r="A48" s="33">
        <v>11</v>
      </c>
      <c r="B48" s="33" t="s">
        <v>66</v>
      </c>
      <c r="C48" s="33">
        <v>1</v>
      </c>
      <c r="D48" s="33">
        <v>2</v>
      </c>
      <c r="E48" s="36">
        <v>1.437E-4</v>
      </c>
      <c r="F48" s="36"/>
    </row>
    <row r="49" spans="1:6" x14ac:dyDescent="0.3">
      <c r="A49" s="33">
        <v>12</v>
      </c>
      <c r="B49" s="33" t="s">
        <v>67</v>
      </c>
      <c r="C49" s="33">
        <v>1</v>
      </c>
      <c r="D49" s="33">
        <v>2</v>
      </c>
      <c r="E49" s="36">
        <v>1.3760000000000001E-4</v>
      </c>
      <c r="F49" s="36"/>
    </row>
    <row r="50" spans="1:6" x14ac:dyDescent="0.3">
      <c r="A50" s="33">
        <v>13</v>
      </c>
      <c r="B50" s="33" t="s">
        <v>68</v>
      </c>
      <c r="C50" s="33">
        <v>1</v>
      </c>
      <c r="D50" s="33">
        <v>2</v>
      </c>
      <c r="E50" s="36">
        <v>8.4599999999999996E-5</v>
      </c>
      <c r="F50" s="36"/>
    </row>
    <row r="51" spans="1:6" x14ac:dyDescent="0.3">
      <c r="A51" s="33">
        <v>14</v>
      </c>
      <c r="B51" s="33" t="s">
        <v>69</v>
      </c>
      <c r="C51" s="33">
        <v>1</v>
      </c>
      <c r="D51" s="33">
        <v>2</v>
      </c>
      <c r="E51" s="36">
        <v>9.87E-5</v>
      </c>
      <c r="F51" s="36"/>
    </row>
    <row r="52" spans="1:6" x14ac:dyDescent="0.3">
      <c r="A52" s="33">
        <v>15</v>
      </c>
      <c r="B52" s="33" t="s">
        <v>70</v>
      </c>
      <c r="C52" s="33">
        <v>1</v>
      </c>
      <c r="D52" s="33">
        <v>2</v>
      </c>
      <c r="E52" s="36">
        <v>1.6449999999999999E-4</v>
      </c>
      <c r="F52" s="36"/>
    </row>
    <row r="53" spans="1:6" x14ac:dyDescent="0.3">
      <c r="A53" s="33">
        <v>24</v>
      </c>
      <c r="B53" s="33" t="s">
        <v>71</v>
      </c>
      <c r="C53" s="33">
        <v>1</v>
      </c>
      <c r="D53" s="33">
        <v>2</v>
      </c>
      <c r="E53" s="36">
        <v>7.08E-5</v>
      </c>
      <c r="F53" s="36"/>
    </row>
    <row r="54" spans="1:6" x14ac:dyDescent="0.3">
      <c r="A54" s="33">
        <v>16</v>
      </c>
      <c r="B54" s="33" t="s">
        <v>72</v>
      </c>
      <c r="C54" s="33">
        <v>1</v>
      </c>
      <c r="D54" s="33">
        <v>2</v>
      </c>
      <c r="E54" s="36">
        <v>1.5E-5</v>
      </c>
      <c r="F54" s="36"/>
    </row>
    <row r="55" spans="1:6" x14ac:dyDescent="0.3">
      <c r="A55" s="33">
        <v>17</v>
      </c>
      <c r="B55" s="33" t="s">
        <v>73</v>
      </c>
      <c r="C55" s="33">
        <v>1</v>
      </c>
      <c r="D55" s="33">
        <v>2</v>
      </c>
      <c r="E55" s="36">
        <v>1.195E-4</v>
      </c>
      <c r="F55" s="36"/>
    </row>
    <row r="56" spans="1:6" x14ac:dyDescent="0.3">
      <c r="A56" s="33">
        <v>18</v>
      </c>
      <c r="B56" s="33" t="s">
        <v>74</v>
      </c>
      <c r="C56" s="33">
        <v>1</v>
      </c>
      <c r="D56" s="33">
        <v>2</v>
      </c>
      <c r="E56" s="36">
        <v>5.7500000000000002E-5</v>
      </c>
      <c r="F56" s="36"/>
    </row>
    <row r="57" spans="1:6" x14ac:dyDescent="0.3">
      <c r="A57" s="33">
        <v>19</v>
      </c>
      <c r="B57" s="33" t="s">
        <v>75</v>
      </c>
      <c r="C57" s="33">
        <v>1</v>
      </c>
      <c r="D57" s="33">
        <v>2</v>
      </c>
      <c r="E57" s="36">
        <v>6.9300000000000004E-5</v>
      </c>
      <c r="F57" s="36"/>
    </row>
    <row r="58" spans="1:6" x14ac:dyDescent="0.3">
      <c r="A58" s="33">
        <v>25</v>
      </c>
      <c r="B58" s="33" t="s">
        <v>83</v>
      </c>
      <c r="C58" s="33">
        <v>1</v>
      </c>
      <c r="D58" s="33">
        <v>2</v>
      </c>
      <c r="E58" s="36">
        <v>5.5999999999999997E-6</v>
      </c>
      <c r="F58" s="36"/>
    </row>
    <row r="59" spans="1:6" x14ac:dyDescent="0.3">
      <c r="A59" s="33">
        <v>20</v>
      </c>
      <c r="B59" s="33" t="s">
        <v>76</v>
      </c>
      <c r="C59" s="33">
        <v>1</v>
      </c>
      <c r="D59" s="33">
        <v>2</v>
      </c>
      <c r="E59" s="36">
        <v>6.1500000000000004E-5</v>
      </c>
      <c r="F59" s="36"/>
    </row>
    <row r="60" spans="1:6" x14ac:dyDescent="0.3">
      <c r="A60" s="33">
        <v>21</v>
      </c>
      <c r="B60" s="33" t="s">
        <v>77</v>
      </c>
      <c r="C60" s="33">
        <v>1</v>
      </c>
      <c r="D60" s="33">
        <v>2</v>
      </c>
      <c r="E60" s="36">
        <v>4.1999999999999998E-5</v>
      </c>
      <c r="F60" s="36"/>
    </row>
    <row r="61" spans="1:6" x14ac:dyDescent="0.3">
      <c r="A61" s="33">
        <v>22</v>
      </c>
      <c r="B61" s="33" t="s">
        <v>78</v>
      </c>
      <c r="C61" s="33">
        <v>1</v>
      </c>
      <c r="D61" s="33">
        <v>2</v>
      </c>
      <c r="E61" s="36">
        <v>9.5999999999999996E-6</v>
      </c>
      <c r="F61" s="36"/>
    </row>
    <row r="62" spans="1:6" x14ac:dyDescent="0.3">
      <c r="A62" s="33">
        <v>26</v>
      </c>
      <c r="B62" s="33" t="s">
        <v>79</v>
      </c>
      <c r="C62" s="33">
        <v>1</v>
      </c>
      <c r="D62" s="33">
        <v>2</v>
      </c>
      <c r="E62" s="36">
        <v>1.1E-5</v>
      </c>
      <c r="F62" s="36"/>
    </row>
    <row r="63" spans="1:6" x14ac:dyDescent="0.3">
      <c r="A63" s="33">
        <v>27</v>
      </c>
      <c r="B63" s="33" t="s">
        <v>80</v>
      </c>
      <c r="C63" s="33">
        <v>1</v>
      </c>
      <c r="D63" s="33">
        <v>2</v>
      </c>
      <c r="E63" s="36">
        <v>4.0000000000000003E-5</v>
      </c>
      <c r="F63" s="36"/>
    </row>
    <row r="64" spans="1:6" x14ac:dyDescent="0.3">
      <c r="A64" s="33">
        <v>28</v>
      </c>
      <c r="B64" s="33" t="s">
        <v>53</v>
      </c>
      <c r="C64" s="33">
        <v>2</v>
      </c>
      <c r="D64" s="33">
        <v>1</v>
      </c>
      <c r="E64" s="36">
        <v>1.66E-5</v>
      </c>
      <c r="F64" s="36"/>
    </row>
    <row r="65" spans="1:6" x14ac:dyDescent="0.3">
      <c r="A65" s="33">
        <v>29</v>
      </c>
      <c r="B65" s="33" t="s">
        <v>54</v>
      </c>
      <c r="C65" s="33">
        <v>2</v>
      </c>
      <c r="D65" s="33">
        <v>1</v>
      </c>
      <c r="E65" s="36">
        <v>1.6799999999999998E-5</v>
      </c>
      <c r="F65" s="36"/>
    </row>
    <row r="66" spans="1:6" x14ac:dyDescent="0.3">
      <c r="A66" s="33">
        <v>30</v>
      </c>
      <c r="B66" s="33" t="s">
        <v>55</v>
      </c>
      <c r="C66" s="33">
        <v>2</v>
      </c>
      <c r="D66" s="33">
        <v>1</v>
      </c>
      <c r="E66" s="36">
        <v>1.63E-5</v>
      </c>
      <c r="F66" s="36"/>
    </row>
    <row r="67" spans="1:6" x14ac:dyDescent="0.3">
      <c r="A67" s="33">
        <v>31</v>
      </c>
      <c r="B67" s="33" t="s">
        <v>56</v>
      </c>
      <c r="C67" s="33">
        <v>2</v>
      </c>
      <c r="D67" s="33">
        <v>1</v>
      </c>
      <c r="E67" s="36">
        <v>4.9499999999999997E-5</v>
      </c>
      <c r="F67" s="36"/>
    </row>
    <row r="68" spans="1:6" x14ac:dyDescent="0.3">
      <c r="A68" s="33">
        <v>3</v>
      </c>
      <c r="B68" s="33" t="s">
        <v>57</v>
      </c>
      <c r="C68" s="33">
        <v>2</v>
      </c>
      <c r="D68" s="33">
        <v>1</v>
      </c>
      <c r="E68" s="36">
        <v>6.2100000000000005E-5</v>
      </c>
      <c r="F68" s="36"/>
    </row>
    <row r="69" spans="1:6" x14ac:dyDescent="0.3">
      <c r="A69" s="33">
        <v>4</v>
      </c>
      <c r="B69" s="33" t="s">
        <v>81</v>
      </c>
      <c r="C69" s="33">
        <v>2</v>
      </c>
      <c r="D69" s="33">
        <v>1</v>
      </c>
      <c r="E69" s="36">
        <v>4.2700000000000001E-5</v>
      </c>
      <c r="F69" s="36"/>
    </row>
    <row r="70" spans="1:6" x14ac:dyDescent="0.3">
      <c r="A70" s="33">
        <v>5</v>
      </c>
      <c r="B70" s="33" t="s">
        <v>58</v>
      </c>
      <c r="C70" s="33">
        <v>2</v>
      </c>
      <c r="D70" s="33">
        <v>1</v>
      </c>
      <c r="E70" s="36">
        <v>5.9500000000000003E-5</v>
      </c>
      <c r="F70" s="36"/>
    </row>
    <row r="71" spans="1:6" x14ac:dyDescent="0.3">
      <c r="A71" s="33">
        <v>1</v>
      </c>
      <c r="B71" s="33" t="s">
        <v>82</v>
      </c>
      <c r="C71" s="33">
        <v>2</v>
      </c>
      <c r="D71" s="33">
        <v>1</v>
      </c>
      <c r="E71" s="36">
        <v>1.0840000000000001E-4</v>
      </c>
      <c r="F71" s="36"/>
    </row>
    <row r="72" spans="1:6" x14ac:dyDescent="0.3">
      <c r="A72" s="33">
        <v>2</v>
      </c>
      <c r="B72" s="33" t="s">
        <v>59</v>
      </c>
      <c r="C72" s="33">
        <v>2</v>
      </c>
      <c r="D72" s="33">
        <v>1</v>
      </c>
      <c r="E72" s="36">
        <v>5.91E-5</v>
      </c>
      <c r="F72" s="36"/>
    </row>
    <row r="73" spans="1:6" x14ac:dyDescent="0.3">
      <c r="A73" s="33">
        <v>23</v>
      </c>
      <c r="B73" s="33" t="s">
        <v>60</v>
      </c>
      <c r="C73" s="33">
        <v>2</v>
      </c>
      <c r="D73" s="33">
        <v>1</v>
      </c>
      <c r="E73" s="36">
        <v>4.0299999999999997E-5</v>
      </c>
      <c r="F73" s="36"/>
    </row>
    <row r="74" spans="1:6" x14ac:dyDescent="0.3">
      <c r="A74" s="33">
        <v>6</v>
      </c>
      <c r="B74" s="33" t="s">
        <v>61</v>
      </c>
      <c r="C74" s="33">
        <v>2</v>
      </c>
      <c r="D74" s="33">
        <v>1</v>
      </c>
      <c r="E74" s="36">
        <v>1.1519999999999999E-4</v>
      </c>
      <c r="F74" s="36"/>
    </row>
    <row r="75" spans="1:6" x14ac:dyDescent="0.3">
      <c r="A75" s="33">
        <v>7</v>
      </c>
      <c r="B75" s="33" t="s">
        <v>62</v>
      </c>
      <c r="C75" s="33">
        <v>2</v>
      </c>
      <c r="D75" s="33">
        <v>1</v>
      </c>
      <c r="E75" s="36">
        <v>8.3499999999999997E-5</v>
      </c>
      <c r="F75" s="36"/>
    </row>
    <row r="76" spans="1:6" x14ac:dyDescent="0.3">
      <c r="A76" s="33">
        <v>8</v>
      </c>
      <c r="B76" s="33" t="s">
        <v>63</v>
      </c>
      <c r="C76" s="33">
        <v>2</v>
      </c>
      <c r="D76" s="33">
        <v>1</v>
      </c>
      <c r="E76" s="36">
        <v>9.09E-5</v>
      </c>
      <c r="F76" s="36"/>
    </row>
    <row r="77" spans="1:6" x14ac:dyDescent="0.3">
      <c r="A77" s="33">
        <v>9</v>
      </c>
      <c r="B77" s="33" t="s">
        <v>64</v>
      </c>
      <c r="C77" s="33">
        <v>2</v>
      </c>
      <c r="D77" s="33">
        <v>1</v>
      </c>
      <c r="E77" s="36">
        <v>6.3E-5</v>
      </c>
      <c r="F77" s="36"/>
    </row>
    <row r="78" spans="1:6" x14ac:dyDescent="0.3">
      <c r="A78" s="33">
        <v>10</v>
      </c>
      <c r="B78" s="33" t="s">
        <v>65</v>
      </c>
      <c r="C78" s="33">
        <v>2</v>
      </c>
      <c r="D78" s="33">
        <v>1</v>
      </c>
      <c r="E78" s="36">
        <v>6.6600000000000006E-5</v>
      </c>
      <c r="F78" s="36"/>
    </row>
    <row r="79" spans="1:6" x14ac:dyDescent="0.3">
      <c r="A79" s="33">
        <v>11</v>
      </c>
      <c r="B79" s="33" t="s">
        <v>66</v>
      </c>
      <c r="C79" s="33">
        <v>2</v>
      </c>
      <c r="D79" s="33">
        <v>1</v>
      </c>
      <c r="E79" s="36">
        <v>1.437E-4</v>
      </c>
      <c r="F79" s="36"/>
    </row>
    <row r="80" spans="1:6" x14ac:dyDescent="0.3">
      <c r="A80" s="33">
        <v>12</v>
      </c>
      <c r="B80" s="33" t="s">
        <v>67</v>
      </c>
      <c r="C80" s="33">
        <v>2</v>
      </c>
      <c r="D80" s="33">
        <v>1</v>
      </c>
      <c r="E80" s="36">
        <v>1.3760000000000001E-4</v>
      </c>
      <c r="F80" s="36"/>
    </row>
    <row r="81" spans="1:6" x14ac:dyDescent="0.3">
      <c r="A81" s="33">
        <v>13</v>
      </c>
      <c r="B81" s="33" t="s">
        <v>68</v>
      </c>
      <c r="C81" s="33">
        <v>2</v>
      </c>
      <c r="D81" s="33">
        <v>1</v>
      </c>
      <c r="E81" s="36">
        <v>8.4599999999999996E-5</v>
      </c>
      <c r="F81" s="36"/>
    </row>
    <row r="82" spans="1:6" x14ac:dyDescent="0.3">
      <c r="A82" s="33">
        <v>14</v>
      </c>
      <c r="B82" s="33" t="s">
        <v>69</v>
      </c>
      <c r="C82" s="33">
        <v>2</v>
      </c>
      <c r="D82" s="33">
        <v>1</v>
      </c>
      <c r="E82" s="36">
        <v>9.87E-5</v>
      </c>
      <c r="F82" s="36"/>
    </row>
    <row r="83" spans="1:6" x14ac:dyDescent="0.3">
      <c r="A83" s="33">
        <v>15</v>
      </c>
      <c r="B83" s="33" t="s">
        <v>70</v>
      </c>
      <c r="C83" s="33">
        <v>2</v>
      </c>
      <c r="D83" s="33">
        <v>1</v>
      </c>
      <c r="E83" s="36">
        <v>1.6449999999999999E-4</v>
      </c>
      <c r="F83" s="36"/>
    </row>
    <row r="84" spans="1:6" x14ac:dyDescent="0.3">
      <c r="A84" s="33">
        <v>24</v>
      </c>
      <c r="B84" s="33" t="s">
        <v>71</v>
      </c>
      <c r="C84" s="33">
        <v>2</v>
      </c>
      <c r="D84" s="33">
        <v>1</v>
      </c>
      <c r="E84" s="36">
        <v>7.08E-5</v>
      </c>
      <c r="F84" s="36"/>
    </row>
    <row r="85" spans="1:6" x14ac:dyDescent="0.3">
      <c r="A85" s="33">
        <v>16</v>
      </c>
      <c r="B85" s="33" t="s">
        <v>72</v>
      </c>
      <c r="C85" s="33">
        <v>2</v>
      </c>
      <c r="D85" s="33">
        <v>1</v>
      </c>
      <c r="E85" s="36">
        <v>1.5E-5</v>
      </c>
      <c r="F85" s="36"/>
    </row>
    <row r="86" spans="1:6" x14ac:dyDescent="0.3">
      <c r="A86" s="33">
        <v>17</v>
      </c>
      <c r="B86" s="33" t="s">
        <v>73</v>
      </c>
      <c r="C86" s="33">
        <v>2</v>
      </c>
      <c r="D86" s="33">
        <v>1</v>
      </c>
      <c r="E86" s="36">
        <v>1.195E-4</v>
      </c>
      <c r="F86" s="36"/>
    </row>
    <row r="87" spans="1:6" x14ac:dyDescent="0.3">
      <c r="A87" s="33">
        <v>18</v>
      </c>
      <c r="B87" s="33" t="s">
        <v>74</v>
      </c>
      <c r="C87" s="33">
        <v>2</v>
      </c>
      <c r="D87" s="33">
        <v>1</v>
      </c>
      <c r="E87" s="36">
        <v>5.7500000000000002E-5</v>
      </c>
      <c r="F87" s="36"/>
    </row>
    <row r="88" spans="1:6" x14ac:dyDescent="0.3">
      <c r="A88" s="33">
        <v>19</v>
      </c>
      <c r="B88" s="33" t="s">
        <v>75</v>
      </c>
      <c r="C88" s="33">
        <v>2</v>
      </c>
      <c r="D88" s="33">
        <v>1</v>
      </c>
      <c r="E88" s="36">
        <v>6.9300000000000004E-5</v>
      </c>
      <c r="F88" s="36"/>
    </row>
    <row r="89" spans="1:6" x14ac:dyDescent="0.3">
      <c r="A89" s="33">
        <v>25</v>
      </c>
      <c r="B89" s="33" t="s">
        <v>83</v>
      </c>
      <c r="C89" s="33">
        <v>2</v>
      </c>
      <c r="D89" s="33">
        <v>1</v>
      </c>
      <c r="E89" s="36">
        <v>5.5999999999999997E-6</v>
      </c>
      <c r="F89" s="36"/>
    </row>
    <row r="90" spans="1:6" x14ac:dyDescent="0.3">
      <c r="A90" s="33">
        <v>20</v>
      </c>
      <c r="B90" s="33" t="s">
        <v>76</v>
      </c>
      <c r="C90" s="33">
        <v>2</v>
      </c>
      <c r="D90" s="33">
        <v>1</v>
      </c>
      <c r="E90" s="36">
        <v>6.1500000000000004E-5</v>
      </c>
      <c r="F90" s="36"/>
    </row>
    <row r="91" spans="1:6" x14ac:dyDescent="0.3">
      <c r="A91" s="33">
        <v>21</v>
      </c>
      <c r="B91" s="33" t="s">
        <v>77</v>
      </c>
      <c r="C91" s="33">
        <v>2</v>
      </c>
      <c r="D91" s="33">
        <v>1</v>
      </c>
      <c r="E91" s="36">
        <v>4.1999999999999998E-5</v>
      </c>
      <c r="F91" s="36"/>
    </row>
    <row r="92" spans="1:6" x14ac:dyDescent="0.3">
      <c r="A92" s="33">
        <v>22</v>
      </c>
      <c r="B92" s="33" t="s">
        <v>78</v>
      </c>
      <c r="C92" s="33">
        <v>2</v>
      </c>
      <c r="D92" s="33">
        <v>1</v>
      </c>
      <c r="E92" s="36">
        <v>9.5999999999999996E-6</v>
      </c>
      <c r="F92" s="36"/>
    </row>
    <row r="93" spans="1:6" x14ac:dyDescent="0.3">
      <c r="A93" s="33">
        <v>26</v>
      </c>
      <c r="B93" s="33" t="s">
        <v>79</v>
      </c>
      <c r="C93" s="33">
        <v>2</v>
      </c>
      <c r="D93" s="33">
        <v>1</v>
      </c>
      <c r="E93" s="36">
        <v>1.1E-5</v>
      </c>
      <c r="F93" s="36"/>
    </row>
    <row r="94" spans="1:6" x14ac:dyDescent="0.3">
      <c r="A94" s="33">
        <v>27</v>
      </c>
      <c r="B94" s="33" t="s">
        <v>80</v>
      </c>
      <c r="C94" s="33">
        <v>2</v>
      </c>
      <c r="D94" s="33">
        <v>1</v>
      </c>
      <c r="E94" s="36">
        <v>4.0000000000000003E-5</v>
      </c>
      <c r="F94" s="36"/>
    </row>
    <row r="95" spans="1:6" x14ac:dyDescent="0.3">
      <c r="A95" s="33">
        <v>28</v>
      </c>
      <c r="B95" s="33" t="s">
        <v>53</v>
      </c>
      <c r="C95" s="33">
        <v>2</v>
      </c>
      <c r="D95" s="33">
        <v>2</v>
      </c>
      <c r="E95" s="36">
        <v>1.6399999999999999E-5</v>
      </c>
      <c r="F95" s="36"/>
    </row>
    <row r="96" spans="1:6" x14ac:dyDescent="0.3">
      <c r="A96" s="33">
        <v>29</v>
      </c>
      <c r="B96" s="33" t="s">
        <v>54</v>
      </c>
      <c r="C96" s="33">
        <v>2</v>
      </c>
      <c r="D96" s="33">
        <v>2</v>
      </c>
      <c r="E96" s="36">
        <v>1.56E-5</v>
      </c>
      <c r="F96" s="36"/>
    </row>
    <row r="97" spans="1:6" x14ac:dyDescent="0.3">
      <c r="A97" s="33">
        <v>30</v>
      </c>
      <c r="B97" s="33" t="s">
        <v>55</v>
      </c>
      <c r="C97" s="33">
        <v>2</v>
      </c>
      <c r="D97" s="33">
        <v>2</v>
      </c>
      <c r="E97" s="36">
        <v>1.3200000000000001E-5</v>
      </c>
      <c r="F97" s="36"/>
    </row>
    <row r="98" spans="1:6" x14ac:dyDescent="0.3">
      <c r="A98" s="33">
        <v>31</v>
      </c>
      <c r="B98" s="33" t="s">
        <v>56</v>
      </c>
      <c r="C98" s="33">
        <v>2</v>
      </c>
      <c r="D98" s="33">
        <v>2</v>
      </c>
      <c r="E98" s="36">
        <v>4.9499999999999997E-5</v>
      </c>
      <c r="F98" s="36"/>
    </row>
    <row r="99" spans="1:6" x14ac:dyDescent="0.3">
      <c r="A99" s="33">
        <v>3</v>
      </c>
      <c r="B99" s="33" t="s">
        <v>57</v>
      </c>
      <c r="C99" s="33">
        <v>2</v>
      </c>
      <c r="D99" s="33">
        <v>2</v>
      </c>
      <c r="E99" s="36">
        <v>6.2100000000000005E-5</v>
      </c>
      <c r="F99" s="36"/>
    </row>
    <row r="100" spans="1:6" x14ac:dyDescent="0.3">
      <c r="A100" s="33">
        <v>4</v>
      </c>
      <c r="B100" s="33" t="s">
        <v>81</v>
      </c>
      <c r="C100" s="33">
        <v>2</v>
      </c>
      <c r="D100" s="33">
        <v>2</v>
      </c>
      <c r="E100" s="36">
        <v>4.2700000000000001E-5</v>
      </c>
      <c r="F100" s="36"/>
    </row>
    <row r="101" spans="1:6" x14ac:dyDescent="0.3">
      <c r="A101" s="33">
        <v>5</v>
      </c>
      <c r="B101" s="33" t="s">
        <v>58</v>
      </c>
      <c r="C101" s="33">
        <v>2</v>
      </c>
      <c r="D101" s="33">
        <v>2</v>
      </c>
      <c r="E101" s="36">
        <v>5.9500000000000003E-5</v>
      </c>
      <c r="F101" s="36"/>
    </row>
    <row r="102" spans="1:6" x14ac:dyDescent="0.3">
      <c r="A102" s="33">
        <v>1</v>
      </c>
      <c r="B102" s="33" t="s">
        <v>82</v>
      </c>
      <c r="C102" s="33">
        <v>2</v>
      </c>
      <c r="D102" s="33">
        <v>2</v>
      </c>
      <c r="E102" s="36">
        <v>1.0840000000000001E-4</v>
      </c>
      <c r="F102" s="36"/>
    </row>
    <row r="103" spans="1:6" x14ac:dyDescent="0.3">
      <c r="A103" s="33">
        <v>2</v>
      </c>
      <c r="B103" s="33" t="s">
        <v>59</v>
      </c>
      <c r="C103" s="33">
        <v>2</v>
      </c>
      <c r="D103" s="33">
        <v>2</v>
      </c>
      <c r="E103" s="36">
        <v>5.91E-5</v>
      </c>
      <c r="F103" s="36"/>
    </row>
    <row r="104" spans="1:6" x14ac:dyDescent="0.3">
      <c r="A104" s="33">
        <v>23</v>
      </c>
      <c r="B104" s="33" t="s">
        <v>60</v>
      </c>
      <c r="C104" s="33">
        <v>2</v>
      </c>
      <c r="D104" s="33">
        <v>2</v>
      </c>
      <c r="E104" s="36">
        <v>4.0299999999999997E-5</v>
      </c>
      <c r="F104" s="36"/>
    </row>
    <row r="105" spans="1:6" x14ac:dyDescent="0.3">
      <c r="A105" s="33">
        <v>6</v>
      </c>
      <c r="B105" s="33" t="s">
        <v>61</v>
      </c>
      <c r="C105" s="33">
        <v>2</v>
      </c>
      <c r="D105" s="33">
        <v>2</v>
      </c>
      <c r="E105" s="36">
        <v>1.1519999999999999E-4</v>
      </c>
      <c r="F105" s="36"/>
    </row>
    <row r="106" spans="1:6" x14ac:dyDescent="0.3">
      <c r="A106" s="33">
        <v>7</v>
      </c>
      <c r="B106" s="33" t="s">
        <v>62</v>
      </c>
      <c r="C106" s="33">
        <v>2</v>
      </c>
      <c r="D106" s="33">
        <v>2</v>
      </c>
      <c r="E106" s="36">
        <v>8.3499999999999997E-5</v>
      </c>
      <c r="F106" s="36"/>
    </row>
    <row r="107" spans="1:6" x14ac:dyDescent="0.3">
      <c r="A107" s="33">
        <v>8</v>
      </c>
      <c r="B107" s="33" t="s">
        <v>63</v>
      </c>
      <c r="C107" s="33">
        <v>2</v>
      </c>
      <c r="D107" s="33">
        <v>2</v>
      </c>
      <c r="E107" s="36">
        <v>9.09E-5</v>
      </c>
      <c r="F107" s="36"/>
    </row>
    <row r="108" spans="1:6" x14ac:dyDescent="0.3">
      <c r="A108" s="33">
        <v>9</v>
      </c>
      <c r="B108" s="33" t="s">
        <v>64</v>
      </c>
      <c r="C108" s="33">
        <v>2</v>
      </c>
      <c r="D108" s="33">
        <v>2</v>
      </c>
      <c r="E108" s="36">
        <v>6.3E-5</v>
      </c>
      <c r="F108" s="36"/>
    </row>
    <row r="109" spans="1:6" x14ac:dyDescent="0.3">
      <c r="A109" s="33">
        <v>10</v>
      </c>
      <c r="B109" s="33" t="s">
        <v>65</v>
      </c>
      <c r="C109" s="33">
        <v>2</v>
      </c>
      <c r="D109" s="33">
        <v>2</v>
      </c>
      <c r="E109" s="36">
        <v>6.6600000000000006E-5</v>
      </c>
      <c r="F109" s="36"/>
    </row>
    <row r="110" spans="1:6" x14ac:dyDescent="0.3">
      <c r="A110" s="33">
        <v>11</v>
      </c>
      <c r="B110" s="33" t="s">
        <v>66</v>
      </c>
      <c r="C110" s="33">
        <v>2</v>
      </c>
      <c r="D110" s="33">
        <v>2</v>
      </c>
      <c r="E110" s="36">
        <v>1.437E-4</v>
      </c>
      <c r="F110" s="36"/>
    </row>
    <row r="111" spans="1:6" x14ac:dyDescent="0.3">
      <c r="A111" s="33">
        <v>12</v>
      </c>
      <c r="B111" s="33" t="s">
        <v>67</v>
      </c>
      <c r="C111" s="33">
        <v>2</v>
      </c>
      <c r="D111" s="33">
        <v>2</v>
      </c>
      <c r="E111" s="36">
        <v>1.3760000000000001E-4</v>
      </c>
      <c r="F111" s="36"/>
    </row>
    <row r="112" spans="1:6" x14ac:dyDescent="0.3">
      <c r="A112" s="33">
        <v>13</v>
      </c>
      <c r="B112" s="33" t="s">
        <v>68</v>
      </c>
      <c r="C112" s="33">
        <v>2</v>
      </c>
      <c r="D112" s="33">
        <v>2</v>
      </c>
      <c r="E112" s="36">
        <v>8.4599999999999996E-5</v>
      </c>
      <c r="F112" s="36"/>
    </row>
    <row r="113" spans="1:6" x14ac:dyDescent="0.3">
      <c r="A113" s="33">
        <v>14</v>
      </c>
      <c r="B113" s="33" t="s">
        <v>69</v>
      </c>
      <c r="C113" s="33">
        <v>2</v>
      </c>
      <c r="D113" s="33">
        <v>2</v>
      </c>
      <c r="E113" s="36">
        <v>9.87E-5</v>
      </c>
      <c r="F113" s="36"/>
    </row>
    <row r="114" spans="1:6" x14ac:dyDescent="0.3">
      <c r="A114" s="33">
        <v>15</v>
      </c>
      <c r="B114" s="33" t="s">
        <v>70</v>
      </c>
      <c r="C114" s="33">
        <v>2</v>
      </c>
      <c r="D114" s="33">
        <v>2</v>
      </c>
      <c r="E114" s="36">
        <v>1.6449999999999999E-4</v>
      </c>
      <c r="F114" s="36"/>
    </row>
    <row r="115" spans="1:6" x14ac:dyDescent="0.3">
      <c r="A115" s="33">
        <v>24</v>
      </c>
      <c r="B115" s="33" t="s">
        <v>71</v>
      </c>
      <c r="C115" s="33">
        <v>2</v>
      </c>
      <c r="D115" s="33">
        <v>2</v>
      </c>
      <c r="E115" s="36">
        <v>7.08E-5</v>
      </c>
      <c r="F115" s="36"/>
    </row>
    <row r="116" spans="1:6" x14ac:dyDescent="0.3">
      <c r="A116" s="33">
        <v>16</v>
      </c>
      <c r="B116" s="33" t="s">
        <v>72</v>
      </c>
      <c r="C116" s="33">
        <v>2</v>
      </c>
      <c r="D116" s="33">
        <v>2</v>
      </c>
      <c r="E116" s="36">
        <v>1.5E-5</v>
      </c>
      <c r="F116" s="36"/>
    </row>
    <row r="117" spans="1:6" x14ac:dyDescent="0.3">
      <c r="A117" s="33">
        <v>17</v>
      </c>
      <c r="B117" s="33" t="s">
        <v>73</v>
      </c>
      <c r="C117" s="33">
        <v>2</v>
      </c>
      <c r="D117" s="33">
        <v>2</v>
      </c>
      <c r="E117" s="36">
        <v>1.195E-4</v>
      </c>
      <c r="F117" s="36"/>
    </row>
    <row r="118" spans="1:6" x14ac:dyDescent="0.3">
      <c r="A118" s="33">
        <v>18</v>
      </c>
      <c r="B118" s="33" t="s">
        <v>74</v>
      </c>
      <c r="C118" s="33">
        <v>2</v>
      </c>
      <c r="D118" s="33">
        <v>2</v>
      </c>
      <c r="E118" s="36">
        <v>5.7500000000000002E-5</v>
      </c>
      <c r="F118" s="36"/>
    </row>
    <row r="119" spans="1:6" x14ac:dyDescent="0.3">
      <c r="A119" s="33">
        <v>19</v>
      </c>
      <c r="B119" s="33" t="s">
        <v>75</v>
      </c>
      <c r="C119" s="33">
        <v>2</v>
      </c>
      <c r="D119" s="33">
        <v>2</v>
      </c>
      <c r="E119" s="36">
        <v>6.9300000000000004E-5</v>
      </c>
      <c r="F119" s="36"/>
    </row>
    <row r="120" spans="1:6" x14ac:dyDescent="0.3">
      <c r="A120" s="33">
        <v>25</v>
      </c>
      <c r="B120" s="33" t="s">
        <v>83</v>
      </c>
      <c r="C120" s="33">
        <v>2</v>
      </c>
      <c r="D120" s="33">
        <v>2</v>
      </c>
      <c r="E120" s="36">
        <v>5.5999999999999997E-6</v>
      </c>
      <c r="F120" s="36"/>
    </row>
    <row r="121" spans="1:6" x14ac:dyDescent="0.3">
      <c r="A121" s="33">
        <v>20</v>
      </c>
      <c r="B121" s="33" t="s">
        <v>76</v>
      </c>
      <c r="C121" s="33">
        <v>2</v>
      </c>
      <c r="D121" s="33">
        <v>2</v>
      </c>
      <c r="E121" s="36">
        <v>6.1500000000000004E-5</v>
      </c>
      <c r="F121" s="36"/>
    </row>
    <row r="122" spans="1:6" x14ac:dyDescent="0.3">
      <c r="A122" s="33">
        <v>21</v>
      </c>
      <c r="B122" s="33" t="s">
        <v>77</v>
      </c>
      <c r="C122" s="33">
        <v>2</v>
      </c>
      <c r="D122" s="33">
        <v>2</v>
      </c>
      <c r="E122" s="36">
        <v>4.1999999999999998E-5</v>
      </c>
      <c r="F122" s="36"/>
    </row>
    <row r="123" spans="1:6" x14ac:dyDescent="0.3">
      <c r="A123" s="33">
        <v>22</v>
      </c>
      <c r="B123" s="33" t="s">
        <v>78</v>
      </c>
      <c r="C123" s="33">
        <v>2</v>
      </c>
      <c r="D123" s="33">
        <v>2</v>
      </c>
      <c r="E123" s="36">
        <v>9.5999999999999996E-6</v>
      </c>
      <c r="F123" s="36"/>
    </row>
    <row r="124" spans="1:6" x14ac:dyDescent="0.3">
      <c r="A124" s="33">
        <v>26</v>
      </c>
      <c r="B124" s="33" t="s">
        <v>79</v>
      </c>
      <c r="C124" s="33">
        <v>2</v>
      </c>
      <c r="D124" s="33">
        <v>2</v>
      </c>
      <c r="E124" s="36">
        <v>1.1E-5</v>
      </c>
      <c r="F124" s="36"/>
    </row>
    <row r="125" spans="1:6" x14ac:dyDescent="0.3">
      <c r="A125" s="33">
        <v>27</v>
      </c>
      <c r="B125" s="33" t="s">
        <v>80</v>
      </c>
      <c r="C125" s="33">
        <v>2</v>
      </c>
      <c r="D125" s="33">
        <v>2</v>
      </c>
      <c r="E125" s="36">
        <v>4.0000000000000003E-5</v>
      </c>
      <c r="F125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0599-48F3-4736-9EFE-5B220C8198C8}">
  <dimension ref="A1:U32"/>
  <sheetViews>
    <sheetView topLeftCell="A13" zoomScale="70" zoomScaleNormal="70" workbookViewId="0">
      <selection sqref="A1:E32"/>
    </sheetView>
  </sheetViews>
  <sheetFormatPr defaultRowHeight="14" x14ac:dyDescent="0.3"/>
  <cols>
    <col min="1" max="1" width="8.6640625" style="2"/>
    <col min="2" max="2" width="13" style="2" customWidth="1"/>
    <col min="3" max="3" width="12.4140625" style="2" customWidth="1"/>
    <col min="4" max="4" width="13.83203125" style="2" customWidth="1"/>
    <col min="5" max="5" width="13.75" style="2" customWidth="1"/>
    <col min="6" max="17" width="8.6640625" style="2"/>
    <col min="18" max="18" width="12.6640625" style="2" bestFit="1" customWidth="1"/>
    <col min="19" max="16384" width="8.6640625" style="2"/>
  </cols>
  <sheetData>
    <row r="1" spans="1:21" x14ac:dyDescent="0.25">
      <c r="A1" s="2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H1" s="1" t="s">
        <v>32</v>
      </c>
      <c r="I1" s="1" t="s">
        <v>33</v>
      </c>
      <c r="J1" s="1" t="s">
        <v>34</v>
      </c>
      <c r="K1" s="1" t="s">
        <v>35</v>
      </c>
      <c r="M1" s="1" t="s">
        <v>32</v>
      </c>
      <c r="N1" s="1" t="s">
        <v>33</v>
      </c>
      <c r="O1" s="1" t="s">
        <v>34</v>
      </c>
      <c r="P1" s="1" t="s">
        <v>35</v>
      </c>
      <c r="Q1" s="2" t="s">
        <v>47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ht="16.5" x14ac:dyDescent="0.45">
      <c r="A2" s="2" t="s">
        <v>1</v>
      </c>
      <c r="B2" s="2">
        <v>2.8096554164614404E-5</v>
      </c>
      <c r="C2" s="2">
        <v>2.7957731585370609E-5</v>
      </c>
      <c r="D2" s="2">
        <v>1.6607464371573697E-5</v>
      </c>
      <c r="E2" s="2">
        <v>1.6352367439517234E-5</v>
      </c>
      <c r="F2" s="14">
        <v>1</v>
      </c>
      <c r="G2" s="32" t="s">
        <v>1</v>
      </c>
      <c r="H2" s="31">
        <v>191</v>
      </c>
      <c r="I2" s="31">
        <v>189</v>
      </c>
      <c r="J2" s="31">
        <v>50</v>
      </c>
      <c r="K2" s="31">
        <v>50</v>
      </c>
      <c r="M2" s="26">
        <v>5.366441845441351E-3</v>
      </c>
      <c r="N2" s="23">
        <v>5.2840112696350451E-3</v>
      </c>
      <c r="O2" s="23">
        <v>8.3037321857868491E-4</v>
      </c>
      <c r="P2" s="27">
        <v>8.1761837197586167E-4</v>
      </c>
      <c r="R2" s="2">
        <f>M2/H2</f>
        <v>2.8096554164614404E-5</v>
      </c>
      <c r="S2" s="2">
        <f t="shared" ref="S2:U2" si="0">N2/I2</f>
        <v>2.7957731585370609E-5</v>
      </c>
      <c r="T2" s="2">
        <f t="shared" si="0"/>
        <v>1.6607464371573697E-5</v>
      </c>
      <c r="U2" s="2">
        <f t="shared" si="0"/>
        <v>1.6352367439517234E-5</v>
      </c>
    </row>
    <row r="3" spans="1:21" ht="16.5" x14ac:dyDescent="0.45">
      <c r="A3" s="2" t="s">
        <v>2</v>
      </c>
      <c r="B3" s="2">
        <v>3.224312646844834E-5</v>
      </c>
      <c r="C3" s="2">
        <v>3.2180431799794725E-5</v>
      </c>
      <c r="D3" s="2">
        <v>1.6832883849858794E-5</v>
      </c>
      <c r="E3" s="2">
        <v>1.5606233867846092E-5</v>
      </c>
      <c r="F3" s="14">
        <v>2</v>
      </c>
      <c r="G3" s="32" t="s">
        <v>3</v>
      </c>
      <c r="H3" s="31">
        <v>165</v>
      </c>
      <c r="I3" s="31">
        <v>135</v>
      </c>
      <c r="J3" s="31">
        <v>50</v>
      </c>
      <c r="K3" s="31">
        <v>50</v>
      </c>
      <c r="M3" s="26">
        <v>4.1090089936723856E-3</v>
      </c>
      <c r="N3" s="23">
        <v>3.3360469218741465E-3</v>
      </c>
      <c r="O3" s="23">
        <v>8.1313881858490443E-4</v>
      </c>
      <c r="P3" s="27">
        <v>6.6017603197605305E-4</v>
      </c>
      <c r="R3" s="2">
        <f t="shared" ref="R3:R32" si="1">M3/H3</f>
        <v>2.4903084810135672E-5</v>
      </c>
      <c r="S3" s="2">
        <f t="shared" ref="S3:S32" si="2">N3/I3</f>
        <v>2.4711458680549232E-5</v>
      </c>
      <c r="T3" s="2">
        <f t="shared" ref="T3:T32" si="3">O3/J3</f>
        <v>1.6262776371698088E-5</v>
      </c>
      <c r="U3" s="2">
        <f t="shared" ref="U3:U32" si="4">P3/K3</f>
        <v>1.3203520639521061E-5</v>
      </c>
    </row>
    <row r="4" spans="1:21" ht="16.5" x14ac:dyDescent="0.45">
      <c r="A4" s="2" t="s">
        <v>3</v>
      </c>
      <c r="B4" s="2">
        <v>2.4903084810135672E-5</v>
      </c>
      <c r="C4" s="2">
        <v>2.4711458680549232E-5</v>
      </c>
      <c r="D4" s="2">
        <v>1.6262776371698088E-5</v>
      </c>
      <c r="E4" s="2">
        <v>1.3203520639521061E-5</v>
      </c>
      <c r="F4" s="14">
        <v>3</v>
      </c>
      <c r="G4" s="32" t="s">
        <v>8</v>
      </c>
      <c r="H4" s="31">
        <v>117.643419171644</v>
      </c>
      <c r="I4" s="31">
        <v>112.83658082835602</v>
      </c>
      <c r="J4" s="31">
        <v>86.527735239400755</v>
      </c>
      <c r="K4" s="31">
        <v>82.992264760599227</v>
      </c>
      <c r="M4" s="26">
        <v>1.2748771590482561E-2</v>
      </c>
      <c r="N4" s="23">
        <v>1.2227864560217305E-2</v>
      </c>
      <c r="O4" s="23">
        <v>9.3768299202473242E-3</v>
      </c>
      <c r="P4" s="27">
        <v>8.9936983696981814E-3</v>
      </c>
      <c r="R4" s="2">
        <f t="shared" si="1"/>
        <v>1.0836791110161343E-4</v>
      </c>
      <c r="S4" s="2">
        <f t="shared" si="2"/>
        <v>1.0836791110161344E-4</v>
      </c>
      <c r="T4" s="2">
        <f t="shared" si="3"/>
        <v>1.0836791110161343E-4</v>
      </c>
      <c r="U4" s="2">
        <f t="shared" si="4"/>
        <v>1.0836791110161343E-4</v>
      </c>
    </row>
    <row r="5" spans="1:21" ht="16.5" x14ac:dyDescent="0.45">
      <c r="A5" s="2" t="s">
        <v>4</v>
      </c>
      <c r="B5" s="2">
        <v>4.9546504256152712E-5</v>
      </c>
      <c r="C5" s="2">
        <v>4.9546504256152719E-5</v>
      </c>
      <c r="D5" s="2">
        <v>4.9546504256152706E-5</v>
      </c>
      <c r="E5" s="2">
        <v>4.9546504256152719E-5</v>
      </c>
      <c r="F5" s="14">
        <v>4</v>
      </c>
      <c r="G5" s="32" t="s">
        <v>9</v>
      </c>
      <c r="H5" s="31">
        <v>108.41914590747331</v>
      </c>
      <c r="I5" s="31">
        <v>105.96085409252672</v>
      </c>
      <c r="J5" s="31">
        <v>73.644911032028446</v>
      </c>
      <c r="K5" s="31">
        <v>71.97508896797153</v>
      </c>
      <c r="M5" s="26">
        <v>6.4121010547108833E-3</v>
      </c>
      <c r="N5" s="23">
        <v>6.2667133060114169E-3</v>
      </c>
      <c r="O5" s="23">
        <v>4.3554909767095753E-3</v>
      </c>
      <c r="P5" s="27">
        <v>4.2567347309514997E-3</v>
      </c>
      <c r="R5" s="2">
        <f t="shared" si="1"/>
        <v>5.9141777967731606E-5</v>
      </c>
      <c r="S5" s="2">
        <f t="shared" si="2"/>
        <v>5.9141777967731578E-5</v>
      </c>
      <c r="T5" s="2">
        <f t="shared" si="3"/>
        <v>5.9141777967731619E-5</v>
      </c>
      <c r="U5" s="2">
        <f t="shared" si="4"/>
        <v>5.9141777967731592E-5</v>
      </c>
    </row>
    <row r="6" spans="1:21" ht="16.5" x14ac:dyDescent="0.45">
      <c r="A6" s="2" t="s">
        <v>5</v>
      </c>
      <c r="B6" s="2">
        <v>6.2120277807458076E-5</v>
      </c>
      <c r="C6" s="2">
        <v>6.2120277807458076E-5</v>
      </c>
      <c r="D6" s="2">
        <v>6.2120277807458076E-5</v>
      </c>
      <c r="E6" s="2">
        <v>6.2120277807458076E-5</v>
      </c>
      <c r="F6" s="14">
        <v>5</v>
      </c>
      <c r="G6" s="32" t="s">
        <v>10</v>
      </c>
      <c r="H6" s="31">
        <v>117.75266963421714</v>
      </c>
      <c r="I6" s="31">
        <v>110.37933036578286</v>
      </c>
      <c r="J6" s="31">
        <v>68.065019547125985</v>
      </c>
      <c r="K6" s="31">
        <v>63.80298045287401</v>
      </c>
      <c r="M6" s="26">
        <v>4.7435826484958123E-3</v>
      </c>
      <c r="N6" s="23">
        <v>4.4465529138505927E-3</v>
      </c>
      <c r="O6" s="23">
        <v>2.7419509612498279E-3</v>
      </c>
      <c r="P6" s="27">
        <v>2.5702577439537192E-3</v>
      </c>
      <c r="R6" s="2">
        <f t="shared" si="1"/>
        <v>4.0284289632083205E-5</v>
      </c>
      <c r="S6" s="2">
        <f t="shared" si="2"/>
        <v>4.0284289632083198E-5</v>
      </c>
      <c r="T6" s="2">
        <f t="shared" si="3"/>
        <v>4.0284289632083205E-5</v>
      </c>
      <c r="U6" s="2">
        <f t="shared" si="4"/>
        <v>4.0284289632083192E-5</v>
      </c>
    </row>
    <row r="7" spans="1:21" ht="16.5" x14ac:dyDescent="0.45">
      <c r="A7" s="2" t="s">
        <v>6</v>
      </c>
      <c r="B7" s="2">
        <v>4.2679143070840903E-5</v>
      </c>
      <c r="C7" s="2">
        <v>4.2679143070840916E-5</v>
      </c>
      <c r="D7" s="2">
        <v>4.2679143070840903E-5</v>
      </c>
      <c r="E7" s="2">
        <v>4.2679143070840896E-5</v>
      </c>
      <c r="F7" s="14">
        <v>6</v>
      </c>
      <c r="G7" s="32" t="s">
        <v>5</v>
      </c>
      <c r="H7" s="31">
        <v>136.70187036022122</v>
      </c>
      <c r="I7" s="31">
        <v>135.73812963977878</v>
      </c>
      <c r="J7" s="31">
        <v>64.005618055901536</v>
      </c>
      <c r="K7" s="31">
        <v>63.554381944098445</v>
      </c>
      <c r="M7" s="26">
        <v>8.4919581635760615E-3</v>
      </c>
      <c r="N7" s="23">
        <v>8.4320903222878177E-3</v>
      </c>
      <c r="O7" s="23">
        <v>3.9760467748706585E-3</v>
      </c>
      <c r="P7" s="27">
        <v>3.9480158622486926E-3</v>
      </c>
      <c r="R7" s="2">
        <f t="shared" si="1"/>
        <v>6.2120277807458076E-5</v>
      </c>
      <c r="S7" s="2">
        <f t="shared" si="2"/>
        <v>6.2120277807458076E-5</v>
      </c>
      <c r="T7" s="2">
        <f t="shared" si="3"/>
        <v>6.2120277807458076E-5</v>
      </c>
      <c r="U7" s="2">
        <f t="shared" si="4"/>
        <v>6.2120277807458076E-5</v>
      </c>
    </row>
    <row r="8" spans="1:21" ht="16.5" x14ac:dyDescent="0.45">
      <c r="A8" s="2" t="s">
        <v>7</v>
      </c>
      <c r="B8" s="2">
        <v>5.9490697011789013E-5</v>
      </c>
      <c r="C8" s="2">
        <v>5.9490697011789006E-5</v>
      </c>
      <c r="D8" s="2">
        <v>5.9490697011789026E-5</v>
      </c>
      <c r="E8" s="2">
        <v>5.9490697011789019E-5</v>
      </c>
      <c r="F8" s="14">
        <v>7</v>
      </c>
      <c r="G8" s="32" t="s">
        <v>6</v>
      </c>
      <c r="H8" s="31">
        <v>105.89362028325246</v>
      </c>
      <c r="I8" s="31">
        <v>103.87837971674753</v>
      </c>
      <c r="J8" s="31">
        <v>75.835606219669216</v>
      </c>
      <c r="K8" s="31">
        <v>74.392393780330792</v>
      </c>
      <c r="M8" s="26">
        <v>4.5194489703582318E-3</v>
      </c>
      <c r="N8" s="23">
        <v>4.4334402298982067E-3</v>
      </c>
      <c r="O8" s="23">
        <v>3.2365986877132148E-3</v>
      </c>
      <c r="P8" s="27">
        <v>3.1750036175330724E-3</v>
      </c>
      <c r="R8" s="2">
        <f t="shared" si="1"/>
        <v>4.2679143070840903E-5</v>
      </c>
      <c r="S8" s="2">
        <f t="shared" si="2"/>
        <v>4.2679143070840916E-5</v>
      </c>
      <c r="T8" s="2">
        <f t="shared" si="3"/>
        <v>4.2679143070840903E-5</v>
      </c>
      <c r="U8" s="2">
        <f t="shared" si="4"/>
        <v>4.2679143070840896E-5</v>
      </c>
    </row>
    <row r="9" spans="1:21" ht="16.5" x14ac:dyDescent="0.45">
      <c r="A9" s="2" t="s">
        <v>8</v>
      </c>
      <c r="B9" s="2">
        <v>1.0836791110161343E-4</v>
      </c>
      <c r="C9" s="2">
        <v>1.0836791110161344E-4</v>
      </c>
      <c r="D9" s="2">
        <v>1.0836791110161343E-4</v>
      </c>
      <c r="E9" s="2">
        <v>1.0836791110161343E-4</v>
      </c>
      <c r="F9" s="14">
        <v>8</v>
      </c>
      <c r="G9" s="32" t="s">
        <v>7</v>
      </c>
      <c r="H9" s="31">
        <v>111.1174966711052</v>
      </c>
      <c r="I9" s="31">
        <v>108.12250332889481</v>
      </c>
      <c r="J9" s="31">
        <v>71.341446959609399</v>
      </c>
      <c r="K9" s="31">
        <v>69.418553040390591</v>
      </c>
      <c r="M9" s="26">
        <v>6.6104573271691938E-3</v>
      </c>
      <c r="N9" s="23">
        <v>6.4322830856954295E-3</v>
      </c>
      <c r="O9" s="23">
        <v>4.2441524054567404E-3</v>
      </c>
      <c r="P9" s="27">
        <v>4.129758105922682E-3</v>
      </c>
      <c r="R9" s="2">
        <f t="shared" si="1"/>
        <v>5.9490697011789013E-5</v>
      </c>
      <c r="S9" s="2">
        <f t="shared" si="2"/>
        <v>5.9490697011789006E-5</v>
      </c>
      <c r="T9" s="2">
        <f t="shared" si="3"/>
        <v>5.9490697011789026E-5</v>
      </c>
      <c r="U9" s="2">
        <f t="shared" si="4"/>
        <v>5.9490697011789019E-5</v>
      </c>
    </row>
    <row r="10" spans="1:21" ht="16.5" x14ac:dyDescent="0.45">
      <c r="A10" s="2" t="s">
        <v>9</v>
      </c>
      <c r="B10" s="2">
        <v>5.9141777967731606E-5</v>
      </c>
      <c r="C10" s="2">
        <v>5.9141777967731578E-5</v>
      </c>
      <c r="D10" s="2">
        <v>5.9141777967731619E-5</v>
      </c>
      <c r="E10" s="2">
        <v>5.9141777967731592E-5</v>
      </c>
      <c r="F10" s="14">
        <v>9</v>
      </c>
      <c r="G10" s="32" t="s">
        <v>2</v>
      </c>
      <c r="H10" s="31">
        <v>197</v>
      </c>
      <c r="I10" s="31">
        <v>183</v>
      </c>
      <c r="J10" s="31">
        <v>50</v>
      </c>
      <c r="K10" s="31">
        <v>50</v>
      </c>
      <c r="M10" s="26">
        <v>6.3518959142843225E-3</v>
      </c>
      <c r="N10" s="23">
        <v>5.8890190193624349E-3</v>
      </c>
      <c r="O10" s="23">
        <v>8.4164419249293967E-4</v>
      </c>
      <c r="P10" s="27">
        <v>7.8031169339230452E-4</v>
      </c>
      <c r="R10" s="2">
        <f t="shared" si="1"/>
        <v>3.224312646844834E-5</v>
      </c>
      <c r="S10" s="2">
        <f t="shared" si="2"/>
        <v>3.2180431799794725E-5</v>
      </c>
      <c r="T10" s="2">
        <f t="shared" si="3"/>
        <v>1.6832883849858794E-5</v>
      </c>
      <c r="U10" s="2">
        <f t="shared" si="4"/>
        <v>1.5606233867846092E-5</v>
      </c>
    </row>
    <row r="11" spans="1:21" ht="16.5" x14ac:dyDescent="0.45">
      <c r="A11" s="2" t="s">
        <v>10</v>
      </c>
      <c r="B11" s="2">
        <v>4.0284289632083205E-5</v>
      </c>
      <c r="C11" s="2">
        <v>4.0284289632083198E-5</v>
      </c>
      <c r="D11" s="2">
        <v>4.0284289632083205E-5</v>
      </c>
      <c r="E11" s="2">
        <v>4.0284289632083192E-5</v>
      </c>
      <c r="F11" s="14">
        <v>10</v>
      </c>
      <c r="G11" s="32" t="s">
        <v>11</v>
      </c>
      <c r="H11" s="31">
        <v>143.56695446946603</v>
      </c>
      <c r="I11" s="31">
        <v>138.87304553053397</v>
      </c>
      <c r="J11" s="31">
        <v>59.756872848854371</v>
      </c>
      <c r="K11" s="31">
        <v>57.803127151145645</v>
      </c>
      <c r="M11" s="26">
        <v>1.6537601585846572E-2</v>
      </c>
      <c r="N11" s="23">
        <v>1.5996906157715776E-2</v>
      </c>
      <c r="O11" s="23">
        <v>6.8834458378137769E-3</v>
      </c>
      <c r="P11" s="27">
        <v>6.6583921820601447E-3</v>
      </c>
      <c r="R11" s="2">
        <f t="shared" si="1"/>
        <v>1.1519086440859067E-4</v>
      </c>
      <c r="S11" s="2">
        <f t="shared" si="2"/>
        <v>1.1519086440859066E-4</v>
      </c>
      <c r="T11" s="2">
        <f t="shared" si="3"/>
        <v>1.1519086440859066E-4</v>
      </c>
      <c r="U11" s="2">
        <f t="shared" si="4"/>
        <v>1.1519086440859069E-4</v>
      </c>
    </row>
    <row r="12" spans="1:21" ht="16.5" x14ac:dyDescent="0.45">
      <c r="A12" s="2" t="s">
        <v>11</v>
      </c>
      <c r="B12" s="2">
        <v>1.1519086440859067E-4</v>
      </c>
      <c r="C12" s="2">
        <v>1.1519086440859066E-4</v>
      </c>
      <c r="D12" s="2">
        <v>1.1519086440859066E-4</v>
      </c>
      <c r="E12" s="2">
        <v>1.1519086440859069E-4</v>
      </c>
      <c r="F12" s="14">
        <v>11</v>
      </c>
      <c r="G12" s="32" t="s">
        <v>12</v>
      </c>
      <c r="H12" s="31">
        <v>145.15122327104606</v>
      </c>
      <c r="I12" s="31">
        <v>134.84877672895394</v>
      </c>
      <c r="J12" s="31">
        <v>62.207667116162604</v>
      </c>
      <c r="K12" s="31">
        <v>57.79233288383741</v>
      </c>
      <c r="M12" s="26">
        <v>1.2120514874789762E-2</v>
      </c>
      <c r="N12" s="23">
        <v>1.1260233068366559E-2</v>
      </c>
      <c r="O12" s="23">
        <v>5.1945063749098989E-3</v>
      </c>
      <c r="P12" s="27">
        <v>4.8258141721570979E-3</v>
      </c>
      <c r="R12" s="2">
        <f t="shared" si="1"/>
        <v>8.3502671225558264E-5</v>
      </c>
      <c r="S12" s="2">
        <f t="shared" si="2"/>
        <v>8.3502671225558304E-5</v>
      </c>
      <c r="T12" s="2">
        <f t="shared" si="3"/>
        <v>8.3502671225558277E-5</v>
      </c>
      <c r="U12" s="2">
        <f t="shared" si="4"/>
        <v>8.3502671225558318E-5</v>
      </c>
    </row>
    <row r="13" spans="1:21" ht="16.5" x14ac:dyDescent="0.45">
      <c r="A13" s="2" t="s">
        <v>12</v>
      </c>
      <c r="B13" s="2">
        <v>8.3502671225558264E-5</v>
      </c>
      <c r="C13" s="2">
        <v>8.3502671225558304E-5</v>
      </c>
      <c r="D13" s="2">
        <v>8.3502671225558277E-5</v>
      </c>
      <c r="E13" s="2">
        <v>8.3502671225558318E-5</v>
      </c>
      <c r="F13" s="14">
        <v>12</v>
      </c>
      <c r="G13" s="32" t="s">
        <v>13</v>
      </c>
      <c r="H13" s="31">
        <v>112.79622619106517</v>
      </c>
      <c r="I13" s="31">
        <v>110.44377380893484</v>
      </c>
      <c r="J13" s="31">
        <v>89.311328353040125</v>
      </c>
      <c r="K13" s="31">
        <v>87.448671646959866</v>
      </c>
      <c r="M13" s="26">
        <v>1.0249571434640319E-2</v>
      </c>
      <c r="N13" s="23">
        <v>1.0035808709135728E-2</v>
      </c>
      <c r="O13" s="23">
        <v>8.1155449148316728E-3</v>
      </c>
      <c r="P13" s="27">
        <v>7.9462889599840117E-3</v>
      </c>
      <c r="R13" s="2">
        <f t="shared" si="1"/>
        <v>9.0868035046479321E-5</v>
      </c>
      <c r="S13" s="2">
        <f t="shared" si="2"/>
        <v>9.0868035046479348E-5</v>
      </c>
      <c r="T13" s="2">
        <f t="shared" si="3"/>
        <v>9.0868035046479321E-5</v>
      </c>
      <c r="U13" s="2">
        <f t="shared" si="4"/>
        <v>9.0868035046479321E-5</v>
      </c>
    </row>
    <row r="14" spans="1:21" ht="16.5" x14ac:dyDescent="0.45">
      <c r="A14" s="2" t="s">
        <v>13</v>
      </c>
      <c r="B14" s="2">
        <v>9.0868035046479321E-5</v>
      </c>
      <c r="C14" s="2">
        <v>9.0868035046479348E-5</v>
      </c>
      <c r="D14" s="2">
        <v>9.0868035046479321E-5</v>
      </c>
      <c r="E14" s="2">
        <v>9.0868035046479321E-5</v>
      </c>
      <c r="F14" s="14">
        <v>13</v>
      </c>
      <c r="G14" s="32" t="s">
        <v>14</v>
      </c>
      <c r="H14" s="31">
        <v>124.03206592453377</v>
      </c>
      <c r="I14" s="31">
        <v>115.36793407546624</v>
      </c>
      <c r="J14" s="31">
        <v>62.48231892438919</v>
      </c>
      <c r="K14" s="31">
        <v>58.117681075610804</v>
      </c>
      <c r="M14" s="26">
        <v>7.8154598387634826E-3</v>
      </c>
      <c r="N14" s="23">
        <v>7.2695189645274709E-3</v>
      </c>
      <c r="O14" s="23">
        <v>3.9371113473470167E-3</v>
      </c>
      <c r="P14" s="27">
        <v>3.6620885009273716E-3</v>
      </c>
      <c r="R14" s="2">
        <f t="shared" si="1"/>
        <v>6.3011607365459274E-5</v>
      </c>
      <c r="S14" s="2">
        <f t="shared" si="2"/>
        <v>6.3011607365459301E-5</v>
      </c>
      <c r="T14" s="2">
        <f t="shared" si="3"/>
        <v>6.3011607365459261E-5</v>
      </c>
      <c r="U14" s="2">
        <f t="shared" si="4"/>
        <v>6.3011607365459288E-5</v>
      </c>
    </row>
    <row r="15" spans="1:21" ht="16.5" x14ac:dyDescent="0.45">
      <c r="A15" s="2" t="s">
        <v>14</v>
      </c>
      <c r="B15" s="2">
        <v>6.3011607365459274E-5</v>
      </c>
      <c r="C15" s="2">
        <v>6.3011607365459301E-5</v>
      </c>
      <c r="D15" s="2">
        <v>6.3011607365459261E-5</v>
      </c>
      <c r="E15" s="2">
        <v>6.3011607365459288E-5</v>
      </c>
      <c r="F15" s="14">
        <v>14</v>
      </c>
      <c r="G15" s="32" t="s">
        <v>15</v>
      </c>
      <c r="H15" s="31">
        <v>117.25158940721525</v>
      </c>
      <c r="I15" s="31">
        <v>112.42841059278476</v>
      </c>
      <c r="J15" s="31">
        <v>86.948322482745112</v>
      </c>
      <c r="K15" s="31">
        <v>83.371677517254881</v>
      </c>
      <c r="M15" s="26">
        <v>7.8092257123296852E-3</v>
      </c>
      <c r="N15" s="23">
        <v>7.4879909026078087E-3</v>
      </c>
      <c r="O15" s="23">
        <v>5.7909583913444427E-3</v>
      </c>
      <c r="P15" s="27">
        <v>5.5527456048944691E-3</v>
      </c>
      <c r="R15" s="2">
        <f t="shared" si="1"/>
        <v>6.6602301527941013E-5</v>
      </c>
      <c r="S15" s="2">
        <f t="shared" si="2"/>
        <v>6.6602301527941027E-5</v>
      </c>
      <c r="T15" s="2">
        <f t="shared" si="3"/>
        <v>6.6602301527941013E-5</v>
      </c>
      <c r="U15" s="2">
        <f t="shared" si="4"/>
        <v>6.6602301527941E-5</v>
      </c>
    </row>
    <row r="16" spans="1:21" ht="16.5" x14ac:dyDescent="0.45">
      <c r="A16" s="2" t="s">
        <v>15</v>
      </c>
      <c r="B16" s="2">
        <v>6.6602301527941013E-5</v>
      </c>
      <c r="C16" s="2">
        <v>6.6602301527941027E-5</v>
      </c>
      <c r="D16" s="2">
        <v>6.6602301527941013E-5</v>
      </c>
      <c r="E16" s="2">
        <v>6.6602301527941E-5</v>
      </c>
      <c r="F16" s="14">
        <v>15</v>
      </c>
      <c r="G16" s="32" t="s">
        <v>16</v>
      </c>
      <c r="H16" s="31">
        <v>124.18976228209191</v>
      </c>
      <c r="I16" s="31">
        <v>121.85023771790809</v>
      </c>
      <c r="J16" s="31">
        <v>77.711980982567354</v>
      </c>
      <c r="K16" s="31">
        <v>76.248019017432654</v>
      </c>
      <c r="M16" s="26">
        <v>1.7850885688286688E-2</v>
      </c>
      <c r="N16" s="23">
        <v>1.7514605267157268E-2</v>
      </c>
      <c r="O16" s="23">
        <v>1.1170225819251417E-2</v>
      </c>
      <c r="P16" s="27">
        <v>1.0959797703347152E-2</v>
      </c>
      <c r="R16" s="2">
        <f t="shared" si="1"/>
        <v>1.4373878619510633E-4</v>
      </c>
      <c r="S16" s="2">
        <f t="shared" si="2"/>
        <v>1.437387861951063E-4</v>
      </c>
      <c r="T16" s="2">
        <f t="shared" si="3"/>
        <v>1.4373878619510633E-4</v>
      </c>
      <c r="U16" s="2">
        <f t="shared" si="4"/>
        <v>1.437387861951063E-4</v>
      </c>
    </row>
    <row r="17" spans="1:21" ht="16.5" x14ac:dyDescent="0.45">
      <c r="A17" s="2" t="s">
        <v>16</v>
      </c>
      <c r="B17" s="2">
        <v>1.4373878619510633E-4</v>
      </c>
      <c r="C17" s="2">
        <v>1.437387861951063E-4</v>
      </c>
      <c r="D17" s="2">
        <v>1.4373878619510633E-4</v>
      </c>
      <c r="E17" s="2">
        <v>1.437387861951063E-4</v>
      </c>
      <c r="F17" s="14">
        <v>16</v>
      </c>
      <c r="G17" s="32" t="s">
        <v>17</v>
      </c>
      <c r="H17" s="31">
        <v>107.48930950848886</v>
      </c>
      <c r="I17" s="31">
        <v>105.35069049151114</v>
      </c>
      <c r="J17" s="31">
        <v>94.520293025788263</v>
      </c>
      <c r="K17" s="31">
        <v>92.639706974211734</v>
      </c>
      <c r="M17" s="26">
        <v>1.4790634651542277E-2</v>
      </c>
      <c r="N17" s="23">
        <v>1.4496358572520119E-2</v>
      </c>
      <c r="O17" s="23">
        <v>1.3006085234836746E-2</v>
      </c>
      <c r="P17" s="27">
        <v>1.2747314745503035E-2</v>
      </c>
      <c r="R17" s="2">
        <f t="shared" si="1"/>
        <v>1.376009830110054E-4</v>
      </c>
      <c r="S17" s="2">
        <f t="shared" si="2"/>
        <v>1.3760098301100545E-4</v>
      </c>
      <c r="T17" s="2">
        <f t="shared" si="3"/>
        <v>1.3760098301100542E-4</v>
      </c>
      <c r="U17" s="2">
        <f t="shared" si="4"/>
        <v>1.3760098301100548E-4</v>
      </c>
    </row>
    <row r="18" spans="1:21" ht="16.5" x14ac:dyDescent="0.45">
      <c r="A18" s="2" t="s">
        <v>17</v>
      </c>
      <c r="B18" s="2">
        <v>1.376009830110054E-4</v>
      </c>
      <c r="C18" s="2">
        <v>1.3760098301100545E-4</v>
      </c>
      <c r="D18" s="2">
        <v>1.3760098301100542E-4</v>
      </c>
      <c r="E18" s="2">
        <v>1.3760098301100548E-4</v>
      </c>
      <c r="F18" s="14">
        <v>17</v>
      </c>
      <c r="G18" s="32" t="s">
        <v>18</v>
      </c>
      <c r="H18" s="31">
        <v>122.87813353189377</v>
      </c>
      <c r="I18" s="31">
        <v>121.12186646810623</v>
      </c>
      <c r="J18" s="31">
        <v>78.561429635145203</v>
      </c>
      <c r="K18" s="31">
        <v>77.438570364854797</v>
      </c>
      <c r="M18" s="26">
        <v>1.0395707125919623E-2</v>
      </c>
      <c r="N18" s="23">
        <v>1.0247123830379125E-2</v>
      </c>
      <c r="O18" s="23">
        <v>6.6464357034568084E-3</v>
      </c>
      <c r="P18" s="27">
        <v>6.5514398259800977E-3</v>
      </c>
      <c r="R18" s="2">
        <f t="shared" si="1"/>
        <v>8.4601766214339127E-5</v>
      </c>
      <c r="S18" s="2">
        <f t="shared" si="2"/>
        <v>8.4601766214339127E-5</v>
      </c>
      <c r="T18" s="2">
        <f t="shared" si="3"/>
        <v>8.4601766214339127E-5</v>
      </c>
      <c r="U18" s="2">
        <f t="shared" si="4"/>
        <v>8.4601766214339154E-5</v>
      </c>
    </row>
    <row r="19" spans="1:21" ht="16.5" x14ac:dyDescent="0.45">
      <c r="A19" s="2" t="s">
        <v>18</v>
      </c>
      <c r="B19" s="2">
        <v>8.4601766214339127E-5</v>
      </c>
      <c r="C19" s="2">
        <v>8.4601766214339127E-5</v>
      </c>
      <c r="D19" s="2">
        <v>8.4601766214339127E-5</v>
      </c>
      <c r="E19" s="2">
        <v>8.4601766214339154E-5</v>
      </c>
      <c r="F19" s="14">
        <v>18</v>
      </c>
      <c r="G19" s="32" t="s">
        <v>19</v>
      </c>
      <c r="H19" s="31">
        <v>116.61788503041006</v>
      </c>
      <c r="I19" s="31">
        <v>112.26211496958996</v>
      </c>
      <c r="J19" s="31">
        <v>87.188275456150663</v>
      </c>
      <c r="K19" s="31">
        <v>83.931724543849313</v>
      </c>
      <c r="M19" s="26">
        <v>1.1515696783958536E-2</v>
      </c>
      <c r="N19" s="23">
        <v>1.1085576418905022E-2</v>
      </c>
      <c r="O19" s="23">
        <v>8.6096034326764437E-3</v>
      </c>
      <c r="P19" s="27">
        <v>8.2880279482830613E-3</v>
      </c>
      <c r="R19" s="2">
        <f t="shared" si="1"/>
        <v>9.874726145955764E-5</v>
      </c>
      <c r="S19" s="2">
        <f t="shared" si="2"/>
        <v>9.8747261459557653E-5</v>
      </c>
      <c r="T19" s="2">
        <f t="shared" si="3"/>
        <v>9.8747261459557667E-5</v>
      </c>
      <c r="U19" s="2">
        <f t="shared" si="4"/>
        <v>9.8747261459557667E-5</v>
      </c>
    </row>
    <row r="20" spans="1:21" ht="16.5" x14ac:dyDescent="0.45">
      <c r="A20" s="2" t="s">
        <v>19</v>
      </c>
      <c r="B20" s="2">
        <v>9.874726145955764E-5</v>
      </c>
      <c r="C20" s="2">
        <v>9.8747261459557653E-5</v>
      </c>
      <c r="D20" s="2">
        <v>9.8747261459557667E-5</v>
      </c>
      <c r="E20" s="2">
        <v>9.8747261459557667E-5</v>
      </c>
      <c r="F20" s="14">
        <v>19</v>
      </c>
      <c r="G20" s="32" t="s">
        <v>20</v>
      </c>
      <c r="H20" s="31">
        <v>154.62086677367571</v>
      </c>
      <c r="I20" s="31">
        <v>130.97913322632425</v>
      </c>
      <c r="J20" s="31">
        <v>61.934969043797288</v>
      </c>
      <c r="K20" s="31">
        <v>52.465030956202718</v>
      </c>
      <c r="M20" s="26">
        <v>2.5427448460822167E-2</v>
      </c>
      <c r="N20" s="23">
        <v>2.1539558204847244E-2</v>
      </c>
      <c r="O20" s="23">
        <v>1.0185224453494596E-2</v>
      </c>
      <c r="P20" s="27">
        <v>8.6278902613253685E-3</v>
      </c>
      <c r="R20" s="2">
        <f t="shared" si="1"/>
        <v>1.6445030345122347E-4</v>
      </c>
      <c r="S20" s="2">
        <f t="shared" si="2"/>
        <v>1.6445030345122342E-4</v>
      </c>
      <c r="T20" s="2">
        <f t="shared" si="3"/>
        <v>1.6445030345122347E-4</v>
      </c>
      <c r="U20" s="2">
        <f t="shared" si="4"/>
        <v>1.6445030345122344E-4</v>
      </c>
    </row>
    <row r="21" spans="1:21" ht="16.5" x14ac:dyDescent="0.45">
      <c r="A21" s="2" t="s">
        <v>20</v>
      </c>
      <c r="B21" s="2">
        <v>1.6445030345122347E-4</v>
      </c>
      <c r="C21" s="2">
        <v>1.6445030345122342E-4</v>
      </c>
      <c r="D21" s="2">
        <v>1.6445030345122347E-4</v>
      </c>
      <c r="E21" s="2">
        <v>1.6445030345122344E-4</v>
      </c>
      <c r="F21" s="14">
        <v>20</v>
      </c>
      <c r="G21" s="32" t="s">
        <v>21</v>
      </c>
      <c r="H21" s="31">
        <v>105.62582278481013</v>
      </c>
      <c r="I21" s="31">
        <v>98.734177215189888</v>
      </c>
      <c r="J21" s="31">
        <v>101.11879022127741</v>
      </c>
      <c r="K21" s="31">
        <v>94.521209778722579</v>
      </c>
      <c r="M21" s="26">
        <v>7.4781863641928646E-3</v>
      </c>
      <c r="N21" s="23">
        <v>6.9902658106121363E-3</v>
      </c>
      <c r="O21" s="23">
        <v>7.1590936596725961E-3</v>
      </c>
      <c r="P21" s="27">
        <v>6.6919925777459291E-3</v>
      </c>
      <c r="R21" s="2">
        <f t="shared" si="1"/>
        <v>7.0798846030558824E-5</v>
      </c>
      <c r="S21" s="2">
        <f t="shared" si="2"/>
        <v>7.079884603055881E-5</v>
      </c>
      <c r="T21" s="2">
        <f t="shared" si="3"/>
        <v>7.0798846030558824E-5</v>
      </c>
      <c r="U21" s="2">
        <f t="shared" si="4"/>
        <v>7.079884603055881E-5</v>
      </c>
    </row>
    <row r="22" spans="1:21" ht="16.5" x14ac:dyDescent="0.45">
      <c r="A22" s="2" t="s">
        <v>21</v>
      </c>
      <c r="B22" s="2">
        <v>7.0798846030558824E-5</v>
      </c>
      <c r="C22" s="2">
        <v>7.079884603055881E-5</v>
      </c>
      <c r="D22" s="2">
        <v>7.0798846030558824E-5</v>
      </c>
      <c r="E22" s="2">
        <v>7.079884603055881E-5</v>
      </c>
      <c r="F22" s="14">
        <v>21</v>
      </c>
      <c r="G22" s="32" t="s">
        <v>22</v>
      </c>
      <c r="H22" s="31">
        <v>109.88982029659785</v>
      </c>
      <c r="I22" s="31">
        <v>103.33817970340216</v>
      </c>
      <c r="J22" s="31">
        <v>75.640857225937765</v>
      </c>
      <c r="K22" s="31">
        <v>71.131142774062226</v>
      </c>
      <c r="M22" s="26">
        <v>1.6469911473548063E-3</v>
      </c>
      <c r="N22" s="23">
        <v>1.5487973926601531E-3</v>
      </c>
      <c r="O22" s="23">
        <v>1.1336793698743109E-3</v>
      </c>
      <c r="P22" s="27">
        <v>1.0660893077621884E-3</v>
      </c>
      <c r="R22" s="2">
        <f t="shared" si="1"/>
        <v>1.4987658937920718E-5</v>
      </c>
      <c r="S22" s="2">
        <f t="shared" si="2"/>
        <v>1.4987658937920722E-5</v>
      </c>
      <c r="T22" s="2">
        <f t="shared" si="3"/>
        <v>1.4987658937920716E-5</v>
      </c>
      <c r="U22" s="2">
        <f t="shared" si="4"/>
        <v>1.4987658937920718E-5</v>
      </c>
    </row>
    <row r="23" spans="1:21" ht="16.5" x14ac:dyDescent="0.45">
      <c r="A23" s="2" t="s">
        <v>22</v>
      </c>
      <c r="B23" s="2">
        <v>1.4987658937920718E-5</v>
      </c>
      <c r="C23" s="2">
        <v>1.4987658937920722E-5</v>
      </c>
      <c r="D23" s="2">
        <v>1.4987658937920716E-5</v>
      </c>
      <c r="E23" s="2">
        <v>1.4987658937920718E-5</v>
      </c>
      <c r="F23" s="14">
        <v>22</v>
      </c>
      <c r="G23" s="32" t="s">
        <v>4</v>
      </c>
      <c r="H23" s="31">
        <v>120.34211720037968</v>
      </c>
      <c r="I23" s="31">
        <v>120.13788279962034</v>
      </c>
      <c r="J23" s="31">
        <v>59.810752860068931</v>
      </c>
      <c r="K23" s="31">
        <v>59.709247139931051</v>
      </c>
      <c r="M23" s="26">
        <v>5.9625312220630399E-3</v>
      </c>
      <c r="N23" s="23">
        <v>5.952412121456566E-3</v>
      </c>
      <c r="O23" s="23">
        <v>2.9634137211451031E-3</v>
      </c>
      <c r="P23" s="27">
        <v>2.9583844675502686E-3</v>
      </c>
      <c r="R23" s="2">
        <f t="shared" si="1"/>
        <v>4.9546504256152712E-5</v>
      </c>
      <c r="S23" s="2">
        <f t="shared" si="2"/>
        <v>4.9546504256152719E-5</v>
      </c>
      <c r="T23" s="2">
        <f t="shared" si="3"/>
        <v>4.9546504256152706E-5</v>
      </c>
      <c r="U23" s="2">
        <f t="shared" si="4"/>
        <v>4.9546504256152719E-5</v>
      </c>
    </row>
    <row r="24" spans="1:21" ht="16.5" x14ac:dyDescent="0.45">
      <c r="A24" s="2" t="s">
        <v>23</v>
      </c>
      <c r="B24" s="2">
        <v>1.1954442248103431E-4</v>
      </c>
      <c r="C24" s="2">
        <v>1.1954442248103428E-4</v>
      </c>
      <c r="D24" s="2">
        <v>1.1954442248103432E-4</v>
      </c>
      <c r="E24" s="2">
        <v>1.1954442248103428E-4</v>
      </c>
      <c r="F24" s="14">
        <v>23</v>
      </c>
      <c r="G24" s="32" t="s">
        <v>23</v>
      </c>
      <c r="H24" s="31">
        <v>105.79183042748946</v>
      </c>
      <c r="I24" s="31">
        <v>109.36816957251057</v>
      </c>
      <c r="J24" s="31">
        <v>90.883816398109062</v>
      </c>
      <c r="K24" s="31">
        <v>93.956183601890913</v>
      </c>
      <c r="M24" s="26">
        <v>1.264682327166574E-2</v>
      </c>
      <c r="N24" s="23">
        <v>1.3074354669353602E-2</v>
      </c>
      <c r="O24" s="23">
        <v>1.0864653344184304E-2</v>
      </c>
      <c r="P24" s="27">
        <v>1.1231937707210073E-2</v>
      </c>
      <c r="R24" s="2">
        <f t="shared" si="1"/>
        <v>1.1954442248103431E-4</v>
      </c>
      <c r="S24" s="2">
        <f t="shared" si="2"/>
        <v>1.1954442248103428E-4</v>
      </c>
      <c r="T24" s="2">
        <f t="shared" si="3"/>
        <v>1.1954442248103432E-4</v>
      </c>
      <c r="U24" s="2">
        <f t="shared" si="4"/>
        <v>1.1954442248103428E-4</v>
      </c>
    </row>
    <row r="25" spans="1:21" ht="16.5" x14ac:dyDescent="0.45">
      <c r="A25" s="2" t="s">
        <v>24</v>
      </c>
      <c r="B25" s="2">
        <v>5.7460622573636791E-5</v>
      </c>
      <c r="C25" s="2">
        <v>5.746062257363677E-5</v>
      </c>
      <c r="D25" s="2">
        <v>5.7460622573636784E-5</v>
      </c>
      <c r="E25" s="2">
        <v>5.7460622573636777E-5</v>
      </c>
      <c r="F25" s="14">
        <v>24</v>
      </c>
      <c r="G25" s="32" t="s">
        <v>24</v>
      </c>
      <c r="H25" s="31">
        <v>91.392451258316456</v>
      </c>
      <c r="I25" s="31">
        <v>85.079548741683553</v>
      </c>
      <c r="J25" s="31">
        <v>95.046657795776696</v>
      </c>
      <c r="K25" s="31">
        <v>88.481342204223324</v>
      </c>
      <c r="M25" s="26">
        <v>5.2514671478336187E-3</v>
      </c>
      <c r="N25" s="23">
        <v>4.888723838981212E-3</v>
      </c>
      <c r="O25" s="23">
        <v>5.4614401304887367E-3</v>
      </c>
      <c r="P25" s="27">
        <v>5.0841930092056752E-3</v>
      </c>
      <c r="R25" s="2">
        <f t="shared" si="1"/>
        <v>5.7460622573636791E-5</v>
      </c>
      <c r="S25" s="2">
        <f t="shared" si="2"/>
        <v>5.746062257363677E-5</v>
      </c>
      <c r="T25" s="2">
        <f t="shared" si="3"/>
        <v>5.7460622573636784E-5</v>
      </c>
      <c r="U25" s="2">
        <f t="shared" si="4"/>
        <v>5.7460622573636777E-5</v>
      </c>
    </row>
    <row r="26" spans="1:21" ht="16.5" x14ac:dyDescent="0.45">
      <c r="A26" s="2" t="s">
        <v>25</v>
      </c>
      <c r="B26" s="2">
        <v>6.934290201944655E-5</v>
      </c>
      <c r="C26" s="2">
        <v>6.9342902019446523E-5</v>
      </c>
      <c r="D26" s="2">
        <v>6.9342902019446523E-5</v>
      </c>
      <c r="E26" s="2">
        <v>6.9342902019446523E-5</v>
      </c>
      <c r="F26" s="14">
        <v>25</v>
      </c>
      <c r="G26" s="32" t="s">
        <v>25</v>
      </c>
      <c r="H26" s="31">
        <v>99.803809150582921</v>
      </c>
      <c r="I26" s="31">
        <v>95.836190849417065</v>
      </c>
      <c r="J26" s="31">
        <v>104.25223082198492</v>
      </c>
      <c r="K26" s="31">
        <v>100.10776917801509</v>
      </c>
      <c r="M26" s="26">
        <v>6.9206857590964144E-3</v>
      </c>
      <c r="N26" s="23">
        <v>6.6455595919881049E-3</v>
      </c>
      <c r="O26" s="23">
        <v>7.2291522271976235E-3</v>
      </c>
      <c r="P26" s="27">
        <v>6.9417632294964688E-3</v>
      </c>
      <c r="R26" s="2">
        <f t="shared" si="1"/>
        <v>6.934290201944655E-5</v>
      </c>
      <c r="S26" s="2">
        <f t="shared" si="2"/>
        <v>6.9342902019446523E-5</v>
      </c>
      <c r="T26" s="2">
        <f t="shared" si="3"/>
        <v>6.9342902019446523E-5</v>
      </c>
      <c r="U26" s="2">
        <f t="shared" si="4"/>
        <v>6.9342902019446523E-5</v>
      </c>
    </row>
    <row r="27" spans="1:21" ht="16.5" x14ac:dyDescent="0.45">
      <c r="A27" s="2" t="s">
        <v>26</v>
      </c>
      <c r="B27" s="2">
        <v>5.5668447483705531E-6</v>
      </c>
      <c r="C27" s="2">
        <v>5.5668447483705523E-6</v>
      </c>
      <c r="D27" s="2">
        <v>5.566844748370554E-6</v>
      </c>
      <c r="E27" s="2">
        <v>5.5668447483705523E-6</v>
      </c>
      <c r="F27" s="14">
        <v>26</v>
      </c>
      <c r="G27" s="32" t="s">
        <v>26</v>
      </c>
      <c r="H27" s="31">
        <v>56.859860416354657</v>
      </c>
      <c r="I27" s="31">
        <v>56.684139583645354</v>
      </c>
      <c r="J27" s="31">
        <v>123.41870780290549</v>
      </c>
      <c r="K27" s="31">
        <v>123.0372921970945</v>
      </c>
      <c r="M27" s="26">
        <v>3.1653001535186662E-4</v>
      </c>
      <c r="N27" s="23">
        <v>3.1555180475711947E-4</v>
      </c>
      <c r="O27" s="23">
        <v>6.8705278538328429E-4</v>
      </c>
      <c r="P27" s="27">
        <v>6.849295039211287E-4</v>
      </c>
      <c r="R27" s="2">
        <f t="shared" si="1"/>
        <v>5.5668447483705531E-6</v>
      </c>
      <c r="S27" s="2">
        <f t="shared" si="2"/>
        <v>5.5668447483705523E-6</v>
      </c>
      <c r="T27" s="2">
        <f t="shared" si="3"/>
        <v>5.566844748370554E-6</v>
      </c>
      <c r="U27" s="2">
        <f t="shared" si="4"/>
        <v>5.5668447483705523E-6</v>
      </c>
    </row>
    <row r="28" spans="1:21" ht="16.5" x14ac:dyDescent="0.45">
      <c r="A28" s="2" t="s">
        <v>27</v>
      </c>
      <c r="B28" s="2">
        <v>6.1473191580297049E-5</v>
      </c>
      <c r="C28" s="2">
        <v>6.1473191580297036E-5</v>
      </c>
      <c r="D28" s="2">
        <v>6.1473191580297036E-5</v>
      </c>
      <c r="E28" s="2">
        <v>6.1473191580297022E-5</v>
      </c>
      <c r="F28" s="14">
        <v>27</v>
      </c>
      <c r="G28" s="32" t="s">
        <v>27</v>
      </c>
      <c r="H28" s="31">
        <v>108.55489655172416</v>
      </c>
      <c r="I28" s="31">
        <v>105.39310344827585</v>
      </c>
      <c r="J28" s="31">
        <v>74.105201970443346</v>
      </c>
      <c r="K28" s="31">
        <v>71.946798029556646</v>
      </c>
      <c r="M28" s="26">
        <v>6.6732159527034662E-3</v>
      </c>
      <c r="N28" s="23">
        <v>6.4788504395179259E-3</v>
      </c>
      <c r="O28" s="23">
        <v>4.5554832778256695E-3</v>
      </c>
      <c r="P28" s="27">
        <v>4.4227992988598724E-3</v>
      </c>
      <c r="R28" s="2">
        <f t="shared" si="1"/>
        <v>6.1473191580297049E-5</v>
      </c>
      <c r="S28" s="2">
        <f t="shared" si="2"/>
        <v>6.1473191580297036E-5</v>
      </c>
      <c r="T28" s="2">
        <f t="shared" si="3"/>
        <v>6.1473191580297036E-5</v>
      </c>
      <c r="U28" s="2">
        <f t="shared" si="4"/>
        <v>6.1473191580297022E-5</v>
      </c>
    </row>
    <row r="29" spans="1:21" ht="16.5" x14ac:dyDescent="0.45">
      <c r="A29" s="2" t="s">
        <v>28</v>
      </c>
      <c r="B29" s="2">
        <v>4.1981304982726069E-5</v>
      </c>
      <c r="C29" s="2">
        <v>4.1981304982726075E-5</v>
      </c>
      <c r="D29" s="2">
        <v>4.1981304982726062E-5</v>
      </c>
      <c r="E29" s="2">
        <v>4.1981304982726082E-5</v>
      </c>
      <c r="F29" s="14">
        <v>28</v>
      </c>
      <c r="G29" s="32" t="s">
        <v>28</v>
      </c>
      <c r="H29" s="31">
        <v>88.227385924130772</v>
      </c>
      <c r="I29" s="31">
        <v>86.336614075869221</v>
      </c>
      <c r="J29" s="31">
        <v>93.722265393936411</v>
      </c>
      <c r="K29" s="31">
        <v>91.713734606063596</v>
      </c>
      <c r="M29" s="26">
        <v>3.7039007963096068E-3</v>
      </c>
      <c r="N29" s="23">
        <v>3.6245237266949865E-3</v>
      </c>
      <c r="O29" s="23">
        <v>3.9345830071748373E-3</v>
      </c>
      <c r="P29" s="27">
        <v>3.8502622636019551E-3</v>
      </c>
      <c r="R29" s="2">
        <f t="shared" si="1"/>
        <v>4.1981304982726069E-5</v>
      </c>
      <c r="S29" s="2">
        <f t="shared" si="2"/>
        <v>4.1981304982726075E-5</v>
      </c>
      <c r="T29" s="2">
        <f t="shared" si="3"/>
        <v>4.1981304982726062E-5</v>
      </c>
      <c r="U29" s="2">
        <f t="shared" si="4"/>
        <v>4.1981304982726082E-5</v>
      </c>
    </row>
    <row r="30" spans="1:21" ht="16.5" x14ac:dyDescent="0.45">
      <c r="A30" s="2" t="s">
        <v>29</v>
      </c>
      <c r="B30" s="2">
        <v>9.6428535812230667E-6</v>
      </c>
      <c r="C30" s="2">
        <v>9.6428535812230667E-6</v>
      </c>
      <c r="D30" s="2">
        <v>9.642853581223065E-6</v>
      </c>
      <c r="E30" s="2">
        <v>9.6428535812230667E-6</v>
      </c>
      <c r="F30" s="14">
        <v>29</v>
      </c>
      <c r="G30" s="32" t="s">
        <v>29</v>
      </c>
      <c r="H30" s="31">
        <v>103.27347890387125</v>
      </c>
      <c r="I30" s="31">
        <v>96.598521096128763</v>
      </c>
      <c r="J30" s="31">
        <v>82.737830361026525</v>
      </c>
      <c r="K30" s="31">
        <v>77.390169638973461</v>
      </c>
      <c r="M30" s="26">
        <v>9.9585103589355968E-4</v>
      </c>
      <c r="N30" s="23">
        <v>9.3148539509265718E-4</v>
      </c>
      <c r="O30" s="23">
        <v>7.9782878379945112E-4</v>
      </c>
      <c r="P30" s="27">
        <v>7.4626207445463585E-4</v>
      </c>
      <c r="R30" s="2">
        <f t="shared" si="1"/>
        <v>9.6428535812230667E-6</v>
      </c>
      <c r="S30" s="2">
        <f t="shared" si="2"/>
        <v>9.6428535812230667E-6</v>
      </c>
      <c r="T30" s="2">
        <f t="shared" si="3"/>
        <v>9.642853581223065E-6</v>
      </c>
      <c r="U30" s="2">
        <f t="shared" si="4"/>
        <v>9.6428535812230667E-6</v>
      </c>
    </row>
    <row r="31" spans="1:21" ht="16.5" x14ac:dyDescent="0.45">
      <c r="A31" s="2" t="s">
        <v>30</v>
      </c>
      <c r="B31" s="2">
        <v>1.1022669800904658E-5</v>
      </c>
      <c r="C31" s="2">
        <v>1.1022669800904657E-5</v>
      </c>
      <c r="D31" s="2">
        <v>1.1022669800904658E-5</v>
      </c>
      <c r="E31" s="2">
        <v>1.1022669800904657E-5</v>
      </c>
      <c r="F31" s="14">
        <v>30</v>
      </c>
      <c r="G31" s="32" t="s">
        <v>30</v>
      </c>
      <c r="H31" s="31">
        <v>110.86089439184269</v>
      </c>
      <c r="I31" s="31">
        <v>104.63510560815732</v>
      </c>
      <c r="J31" s="31">
        <v>74.339396941005091</v>
      </c>
      <c r="K31" s="31">
        <v>70.164603058994899</v>
      </c>
      <c r="M31" s="26">
        <v>1.221983032714245E-3</v>
      </c>
      <c r="N31" s="23">
        <v>1.1533582187015052E-3</v>
      </c>
      <c r="O31" s="23">
        <v>8.1941862567908095E-4</v>
      </c>
      <c r="P31" s="27">
        <v>7.7340125123084554E-4</v>
      </c>
      <c r="Q31" s="2" t="s">
        <v>48</v>
      </c>
      <c r="R31" s="2">
        <f t="shared" si="1"/>
        <v>1.1022669800904658E-5</v>
      </c>
      <c r="S31" s="2">
        <f t="shared" si="2"/>
        <v>1.1022669800904657E-5</v>
      </c>
      <c r="T31" s="2">
        <f t="shared" si="3"/>
        <v>1.1022669800904658E-5</v>
      </c>
      <c r="U31" s="2">
        <f t="shared" si="4"/>
        <v>1.1022669800904657E-5</v>
      </c>
    </row>
    <row r="32" spans="1:21" ht="17" thickBot="1" x14ac:dyDescent="0.5">
      <c r="A32" s="2" t="s">
        <v>31</v>
      </c>
      <c r="B32" s="2">
        <v>4.00146703707661E-5</v>
      </c>
      <c r="C32" s="2">
        <v>4.0014670370766094E-5</v>
      </c>
      <c r="D32" s="2">
        <v>4.0014670370766107E-5</v>
      </c>
      <c r="E32" s="2">
        <v>4.00146703707661E-5</v>
      </c>
      <c r="F32" s="16">
        <v>31</v>
      </c>
      <c r="G32" s="32" t="s">
        <v>31</v>
      </c>
      <c r="H32" s="31">
        <v>94.166689932087451</v>
      </c>
      <c r="I32" s="31">
        <v>92.565310067912577</v>
      </c>
      <c r="J32" s="31">
        <v>87.376957517473826</v>
      </c>
      <c r="K32" s="31">
        <v>85.891042482526146</v>
      </c>
      <c r="M32" s="28">
        <v>3.7680490575386183E-3</v>
      </c>
      <c r="N32" s="29">
        <v>3.7039703701352779E-3</v>
      </c>
      <c r="O32" s="29">
        <v>3.4963601530621489E-3</v>
      </c>
      <c r="P32" s="30">
        <v>3.4369017527397516E-3</v>
      </c>
      <c r="Q32" s="2">
        <f>SUM(M2:P32)</f>
        <v>0.80154000000000014</v>
      </c>
      <c r="R32" s="2">
        <f t="shared" si="1"/>
        <v>4.00146703707661E-5</v>
      </c>
      <c r="S32" s="2">
        <f t="shared" si="2"/>
        <v>4.0014670370766094E-5</v>
      </c>
      <c r="T32" s="2">
        <f t="shared" si="3"/>
        <v>4.0014670370766107E-5</v>
      </c>
      <c r="U32" s="2">
        <f t="shared" si="4"/>
        <v>4.00146703707661E-5</v>
      </c>
    </row>
  </sheetData>
  <sortState ref="B2:F32">
    <sortCondition ref="F2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4DD0-D248-4D01-BFD0-8EC16BB846A9}">
  <dimension ref="A1:K35"/>
  <sheetViews>
    <sheetView topLeftCell="A23" workbookViewId="0">
      <selection activeCell="A4" sqref="A4:A34"/>
    </sheetView>
  </sheetViews>
  <sheetFormatPr defaultRowHeight="16.5" x14ac:dyDescent="0.3"/>
  <cols>
    <col min="1" max="1" width="19.25" style="6" customWidth="1"/>
    <col min="2" max="2" width="8.6640625" style="6"/>
    <col min="3" max="3" width="10.58203125" style="6" customWidth="1"/>
    <col min="4" max="6" width="8.6640625" style="6"/>
    <col min="7" max="7" width="21.33203125" style="6" customWidth="1"/>
    <col min="8" max="16384" width="8.6640625" style="6"/>
  </cols>
  <sheetData>
    <row r="1" spans="1:11" x14ac:dyDescent="0.45">
      <c r="A1" s="37" t="s">
        <v>43</v>
      </c>
      <c r="B1" s="13"/>
      <c r="C1" s="44" t="s">
        <v>36</v>
      </c>
      <c r="D1" s="44"/>
      <c r="E1" s="44"/>
      <c r="F1" s="45"/>
      <c r="G1" s="43" t="s">
        <v>46</v>
      </c>
      <c r="H1" s="37" t="s">
        <v>45</v>
      </c>
      <c r="I1" s="39"/>
      <c r="J1" s="39"/>
      <c r="K1" s="40"/>
    </row>
    <row r="2" spans="1:11" x14ac:dyDescent="0.3">
      <c r="A2" s="38"/>
      <c r="B2" s="46" t="s">
        <v>44</v>
      </c>
      <c r="C2" s="11" t="s">
        <v>37</v>
      </c>
      <c r="D2" s="11" t="s">
        <v>38</v>
      </c>
      <c r="E2" s="46" t="s">
        <v>39</v>
      </c>
      <c r="F2" s="47" t="s">
        <v>40</v>
      </c>
      <c r="G2" s="43"/>
      <c r="H2" s="38"/>
      <c r="I2" s="41"/>
      <c r="J2" s="41"/>
      <c r="K2" s="42"/>
    </row>
    <row r="3" spans="1:11" ht="33" x14ac:dyDescent="0.3">
      <c r="A3" s="38"/>
      <c r="B3" s="46"/>
      <c r="C3" s="12" t="s">
        <v>41</v>
      </c>
      <c r="D3" s="11" t="s">
        <v>42</v>
      </c>
      <c r="E3" s="46"/>
      <c r="F3" s="47"/>
      <c r="G3" s="43"/>
      <c r="H3" s="24" t="s">
        <v>32</v>
      </c>
      <c r="I3" s="22" t="s">
        <v>33</v>
      </c>
      <c r="J3" s="22" t="s">
        <v>34</v>
      </c>
      <c r="K3" s="25" t="s">
        <v>35</v>
      </c>
    </row>
    <row r="4" spans="1:11" x14ac:dyDescent="0.45">
      <c r="A4" s="14">
        <v>1</v>
      </c>
      <c r="B4" s="7" t="s">
        <v>1</v>
      </c>
      <c r="C4" s="8">
        <v>2154</v>
      </c>
      <c r="D4" s="9">
        <v>101.56</v>
      </c>
      <c r="E4" s="10">
        <v>0.86599999999999999</v>
      </c>
      <c r="F4" s="15">
        <f>1-E4</f>
        <v>0.13400000000000001</v>
      </c>
      <c r="G4" s="21">
        <v>0.80154000000000003</v>
      </c>
      <c r="H4" s="26">
        <f>$C4/$C$35*D4/(D4+100)*E4*$G$4</f>
        <v>5.366441845441351E-3</v>
      </c>
      <c r="I4" s="23">
        <f>$C4/$C$35*100/(D4+100)*E4*$G$4</f>
        <v>5.2840112696350451E-3</v>
      </c>
      <c r="J4" s="23">
        <f>$C4/$C$35*D4/(D4+100)*F4*$G$4</f>
        <v>8.3037321857868491E-4</v>
      </c>
      <c r="K4" s="27">
        <f>$C4/$C$35*100/(D4+100)*F4*$G$4</f>
        <v>8.1761837197586167E-4</v>
      </c>
    </row>
    <row r="5" spans="1:11" x14ac:dyDescent="0.45">
      <c r="A5" s="14">
        <v>3</v>
      </c>
      <c r="B5" s="7" t="s">
        <v>3</v>
      </c>
      <c r="C5" s="8">
        <v>1562</v>
      </c>
      <c r="D5" s="9">
        <v>123.17</v>
      </c>
      <c r="E5" s="10">
        <v>0.83479999999999999</v>
      </c>
      <c r="F5" s="15">
        <f t="shared" ref="F5:F34" si="0">1-E5</f>
        <v>0.16520000000000001</v>
      </c>
      <c r="H5" s="26">
        <f t="shared" ref="H5:H34" si="1">$C5/$C$35*D5/(D5+100)*E5*$G$4</f>
        <v>4.1090089936723856E-3</v>
      </c>
      <c r="I5" s="23">
        <f t="shared" ref="I5:I34" si="2">$C5/$C$35*100/(D5+100)*E5*$G$4</f>
        <v>3.3360469218741465E-3</v>
      </c>
      <c r="J5" s="23">
        <f t="shared" ref="J5:J34" si="3">$C5/$C$35*D5/(D5+100)*F5*$G$4</f>
        <v>8.1313881858490443E-4</v>
      </c>
      <c r="K5" s="27">
        <f t="shared" ref="K5:K34" si="4">$C5/$C$35*100/(D5+100)*F5*$G$4</f>
        <v>6.6017603197605305E-4</v>
      </c>
    </row>
    <row r="6" spans="1:11" x14ac:dyDescent="0.45">
      <c r="A6" s="14">
        <v>8</v>
      </c>
      <c r="B6" s="7" t="s">
        <v>8</v>
      </c>
      <c r="C6" s="8">
        <v>7592</v>
      </c>
      <c r="D6" s="9">
        <v>104.26</v>
      </c>
      <c r="E6" s="10">
        <v>0.57620000000000005</v>
      </c>
      <c r="F6" s="15">
        <f t="shared" si="0"/>
        <v>0.42379999999999995</v>
      </c>
      <c r="H6" s="26">
        <f t="shared" si="1"/>
        <v>1.2748771590482561E-2</v>
      </c>
      <c r="I6" s="23">
        <f t="shared" si="2"/>
        <v>1.2227864560217305E-2</v>
      </c>
      <c r="J6" s="23">
        <f t="shared" si="3"/>
        <v>9.3768299202473242E-3</v>
      </c>
      <c r="K6" s="27">
        <f t="shared" si="4"/>
        <v>8.9936983696981814E-3</v>
      </c>
    </row>
    <row r="7" spans="1:11" x14ac:dyDescent="0.45">
      <c r="A7" s="14">
        <v>9</v>
      </c>
      <c r="B7" s="7" t="s">
        <v>9</v>
      </c>
      <c r="C7" s="8">
        <v>3729</v>
      </c>
      <c r="D7" s="9">
        <v>102.32</v>
      </c>
      <c r="E7" s="10">
        <v>0.59550000000000003</v>
      </c>
      <c r="F7" s="15">
        <f t="shared" si="0"/>
        <v>0.40449999999999997</v>
      </c>
      <c r="H7" s="26">
        <f t="shared" si="1"/>
        <v>6.4121010547108833E-3</v>
      </c>
      <c r="I7" s="23">
        <f t="shared" si="2"/>
        <v>6.2667133060114169E-3</v>
      </c>
      <c r="J7" s="23">
        <f t="shared" si="3"/>
        <v>4.3554909767095753E-3</v>
      </c>
      <c r="K7" s="27">
        <f t="shared" si="4"/>
        <v>4.2567347309514997E-3</v>
      </c>
    </row>
    <row r="8" spans="1:11" x14ac:dyDescent="0.45">
      <c r="A8" s="14">
        <v>10</v>
      </c>
      <c r="B8" s="7" t="s">
        <v>10</v>
      </c>
      <c r="C8" s="8">
        <v>2540</v>
      </c>
      <c r="D8" s="9">
        <v>106.68</v>
      </c>
      <c r="E8" s="10">
        <v>0.63370000000000004</v>
      </c>
      <c r="F8" s="15">
        <f t="shared" si="0"/>
        <v>0.36629999999999996</v>
      </c>
      <c r="H8" s="26">
        <f t="shared" si="1"/>
        <v>4.7435826484958123E-3</v>
      </c>
      <c r="I8" s="23">
        <f t="shared" si="2"/>
        <v>4.4465529138505927E-3</v>
      </c>
      <c r="J8" s="23">
        <f t="shared" si="3"/>
        <v>2.7419509612498279E-3</v>
      </c>
      <c r="K8" s="27">
        <f t="shared" si="4"/>
        <v>2.5702577439537192E-3</v>
      </c>
    </row>
    <row r="9" spans="1:11" x14ac:dyDescent="0.45">
      <c r="A9" s="14">
        <v>5</v>
      </c>
      <c r="B9" s="7" t="s">
        <v>5</v>
      </c>
      <c r="C9" s="8">
        <v>4352</v>
      </c>
      <c r="D9" s="9">
        <v>100.71</v>
      </c>
      <c r="E9" s="10">
        <v>0.68110000000000004</v>
      </c>
      <c r="F9" s="15">
        <f t="shared" si="0"/>
        <v>0.31889999999999996</v>
      </c>
      <c r="H9" s="26">
        <f t="shared" si="1"/>
        <v>8.4919581635760615E-3</v>
      </c>
      <c r="I9" s="23">
        <f t="shared" si="2"/>
        <v>8.4320903222878177E-3</v>
      </c>
      <c r="J9" s="23">
        <f t="shared" si="3"/>
        <v>3.9760467748706585E-3</v>
      </c>
      <c r="K9" s="27">
        <f t="shared" si="4"/>
        <v>3.9480158622486926E-3</v>
      </c>
    </row>
    <row r="10" spans="1:11" x14ac:dyDescent="0.45">
      <c r="A10" s="14">
        <v>6</v>
      </c>
      <c r="B10" s="7" t="s">
        <v>6</v>
      </c>
      <c r="C10" s="8">
        <v>2691</v>
      </c>
      <c r="D10" s="9">
        <v>101.94</v>
      </c>
      <c r="E10" s="10">
        <v>0.5827</v>
      </c>
      <c r="F10" s="15">
        <f t="shared" si="0"/>
        <v>0.4173</v>
      </c>
      <c r="H10" s="26">
        <f t="shared" si="1"/>
        <v>4.5194489703582318E-3</v>
      </c>
      <c r="I10" s="23">
        <f t="shared" si="2"/>
        <v>4.4334402298982067E-3</v>
      </c>
      <c r="J10" s="23">
        <f t="shared" si="3"/>
        <v>3.2365986877132148E-3</v>
      </c>
      <c r="K10" s="27">
        <f t="shared" si="4"/>
        <v>3.1750036175330724E-3</v>
      </c>
    </row>
    <row r="11" spans="1:11" x14ac:dyDescent="0.45">
      <c r="A11" s="14">
        <v>7</v>
      </c>
      <c r="B11" s="7" t="s">
        <v>7</v>
      </c>
      <c r="C11" s="8">
        <v>3751</v>
      </c>
      <c r="D11" s="9">
        <v>102.77</v>
      </c>
      <c r="E11" s="10">
        <v>0.60899999999999999</v>
      </c>
      <c r="F11" s="15">
        <f t="shared" si="0"/>
        <v>0.39100000000000001</v>
      </c>
      <c r="H11" s="26">
        <f t="shared" si="1"/>
        <v>6.6104573271691938E-3</v>
      </c>
      <c r="I11" s="23">
        <f t="shared" si="2"/>
        <v>6.4322830856954295E-3</v>
      </c>
      <c r="J11" s="23">
        <f t="shared" si="3"/>
        <v>4.2441524054567404E-3</v>
      </c>
      <c r="K11" s="27">
        <f t="shared" si="4"/>
        <v>4.129758105922682E-3</v>
      </c>
    </row>
    <row r="12" spans="1:11" x14ac:dyDescent="0.45">
      <c r="A12" s="14">
        <v>2</v>
      </c>
      <c r="B12" s="7" t="s">
        <v>2</v>
      </c>
      <c r="C12" s="8">
        <v>2428</v>
      </c>
      <c r="D12" s="9">
        <v>107.86</v>
      </c>
      <c r="E12" s="10">
        <v>0.88300000000000001</v>
      </c>
      <c r="F12" s="15">
        <f t="shared" si="0"/>
        <v>0.11699999999999999</v>
      </c>
      <c r="H12" s="26">
        <f t="shared" si="1"/>
        <v>6.3518959142843225E-3</v>
      </c>
      <c r="I12" s="23">
        <f t="shared" si="2"/>
        <v>5.8890190193624349E-3</v>
      </c>
      <c r="J12" s="23">
        <f t="shared" si="3"/>
        <v>8.4164419249293967E-4</v>
      </c>
      <c r="K12" s="27">
        <f t="shared" si="4"/>
        <v>7.8031169339230452E-4</v>
      </c>
    </row>
    <row r="13" spans="1:11" x14ac:dyDescent="0.45">
      <c r="A13" s="14">
        <v>11</v>
      </c>
      <c r="B13" s="7" t="s">
        <v>11</v>
      </c>
      <c r="C13" s="8">
        <v>8070</v>
      </c>
      <c r="D13" s="9">
        <v>103.38</v>
      </c>
      <c r="E13" s="10">
        <v>0.70609999999999995</v>
      </c>
      <c r="F13" s="15">
        <f t="shared" si="0"/>
        <v>0.29390000000000005</v>
      </c>
      <c r="H13" s="26">
        <f t="shared" si="1"/>
        <v>1.6537601585846572E-2</v>
      </c>
      <c r="I13" s="23">
        <f t="shared" si="2"/>
        <v>1.5996906157715776E-2</v>
      </c>
      <c r="J13" s="23">
        <f t="shared" si="3"/>
        <v>6.8834458378137769E-3</v>
      </c>
      <c r="K13" s="27">
        <f t="shared" si="4"/>
        <v>6.6583921820601447E-3</v>
      </c>
    </row>
    <row r="14" spans="1:11" x14ac:dyDescent="0.45">
      <c r="A14" s="14">
        <v>12</v>
      </c>
      <c r="B14" s="7" t="s">
        <v>12</v>
      </c>
      <c r="C14" s="8">
        <v>5850</v>
      </c>
      <c r="D14" s="9">
        <v>107.64</v>
      </c>
      <c r="E14" s="10">
        <v>0.7</v>
      </c>
      <c r="F14" s="15">
        <f t="shared" si="0"/>
        <v>0.30000000000000004</v>
      </c>
      <c r="H14" s="26">
        <f t="shared" si="1"/>
        <v>1.2120514874789762E-2</v>
      </c>
      <c r="I14" s="23">
        <f t="shared" si="2"/>
        <v>1.1260233068366559E-2</v>
      </c>
      <c r="J14" s="23">
        <f t="shared" si="3"/>
        <v>5.1945063749098989E-3</v>
      </c>
      <c r="K14" s="27">
        <f t="shared" si="4"/>
        <v>4.8258141721570979E-3</v>
      </c>
    </row>
    <row r="15" spans="1:11" x14ac:dyDescent="0.45">
      <c r="A15" s="14">
        <v>13</v>
      </c>
      <c r="B15" s="7" t="s">
        <v>13</v>
      </c>
      <c r="C15" s="8">
        <v>6366</v>
      </c>
      <c r="D15" s="9">
        <v>102.13</v>
      </c>
      <c r="E15" s="10">
        <v>0.55810000000000004</v>
      </c>
      <c r="F15" s="15">
        <f t="shared" si="0"/>
        <v>0.44189999999999996</v>
      </c>
      <c r="H15" s="26">
        <f t="shared" si="1"/>
        <v>1.0249571434640319E-2</v>
      </c>
      <c r="I15" s="23">
        <f t="shared" si="2"/>
        <v>1.0035808709135728E-2</v>
      </c>
      <c r="J15" s="23">
        <f t="shared" si="3"/>
        <v>8.1155449148316728E-3</v>
      </c>
      <c r="K15" s="27">
        <f t="shared" si="4"/>
        <v>7.9462889599840117E-3</v>
      </c>
    </row>
    <row r="16" spans="1:11" x14ac:dyDescent="0.45">
      <c r="A16" s="14">
        <v>14</v>
      </c>
      <c r="B16" s="7" t="s">
        <v>14</v>
      </c>
      <c r="C16" s="8">
        <v>3973</v>
      </c>
      <c r="D16" s="9">
        <v>107.51</v>
      </c>
      <c r="E16" s="10">
        <v>0.66500000000000004</v>
      </c>
      <c r="F16" s="15">
        <f t="shared" si="0"/>
        <v>0.33499999999999996</v>
      </c>
      <c r="H16" s="26">
        <f t="shared" si="1"/>
        <v>7.8154598387634826E-3</v>
      </c>
      <c r="I16" s="23">
        <f t="shared" si="2"/>
        <v>7.2695189645274709E-3</v>
      </c>
      <c r="J16" s="23">
        <f t="shared" si="3"/>
        <v>3.9371113473470167E-3</v>
      </c>
      <c r="K16" s="27">
        <f t="shared" si="4"/>
        <v>3.6620885009273716E-3</v>
      </c>
    </row>
    <row r="17" spans="1:11" x14ac:dyDescent="0.45">
      <c r="A17" s="14">
        <v>15</v>
      </c>
      <c r="B17" s="7" t="s">
        <v>15</v>
      </c>
      <c r="C17" s="8">
        <v>4666</v>
      </c>
      <c r="D17" s="9">
        <v>104.29</v>
      </c>
      <c r="E17" s="10">
        <v>0.57420000000000004</v>
      </c>
      <c r="F17" s="15">
        <f t="shared" si="0"/>
        <v>0.42579999999999996</v>
      </c>
      <c r="H17" s="26">
        <f t="shared" si="1"/>
        <v>7.8092257123296852E-3</v>
      </c>
      <c r="I17" s="23">
        <f t="shared" si="2"/>
        <v>7.4879909026078087E-3</v>
      </c>
      <c r="J17" s="23">
        <f t="shared" si="3"/>
        <v>5.7909583913444427E-3</v>
      </c>
      <c r="K17" s="27">
        <f t="shared" si="4"/>
        <v>5.5527456048944691E-3</v>
      </c>
    </row>
    <row r="18" spans="1:11" x14ac:dyDescent="0.45">
      <c r="A18" s="14">
        <v>16</v>
      </c>
      <c r="B18" s="7" t="s">
        <v>16</v>
      </c>
      <c r="C18" s="8">
        <v>10070</v>
      </c>
      <c r="D18" s="9">
        <v>101.92</v>
      </c>
      <c r="E18" s="10">
        <v>0.61509999999999998</v>
      </c>
      <c r="F18" s="15">
        <f t="shared" si="0"/>
        <v>0.38490000000000002</v>
      </c>
      <c r="H18" s="26">
        <f t="shared" si="1"/>
        <v>1.7850885688286688E-2</v>
      </c>
      <c r="I18" s="23">
        <f t="shared" si="2"/>
        <v>1.7514605267157268E-2</v>
      </c>
      <c r="J18" s="23">
        <f t="shared" si="3"/>
        <v>1.1170225819251417E-2</v>
      </c>
      <c r="K18" s="27">
        <f t="shared" si="4"/>
        <v>1.0959797703347152E-2</v>
      </c>
    </row>
    <row r="19" spans="1:11" x14ac:dyDescent="0.45">
      <c r="A19" s="14">
        <v>17</v>
      </c>
      <c r="B19" s="7" t="s">
        <v>17</v>
      </c>
      <c r="C19" s="8">
        <v>9640</v>
      </c>
      <c r="D19" s="9">
        <v>102.03</v>
      </c>
      <c r="E19" s="10">
        <v>0.53210000000000002</v>
      </c>
      <c r="F19" s="15">
        <f t="shared" si="0"/>
        <v>0.46789999999999998</v>
      </c>
      <c r="H19" s="26">
        <f t="shared" si="1"/>
        <v>1.4790634651542277E-2</v>
      </c>
      <c r="I19" s="23">
        <f t="shared" si="2"/>
        <v>1.4496358572520119E-2</v>
      </c>
      <c r="J19" s="23">
        <f t="shared" si="3"/>
        <v>1.3006085234836746E-2</v>
      </c>
      <c r="K19" s="27">
        <f t="shared" si="4"/>
        <v>1.2747314745503035E-2</v>
      </c>
    </row>
    <row r="20" spans="1:11" x14ac:dyDescent="0.45">
      <c r="A20" s="14">
        <v>18</v>
      </c>
      <c r="B20" s="7" t="s">
        <v>18</v>
      </c>
      <c r="C20" s="8">
        <v>5927</v>
      </c>
      <c r="D20" s="9">
        <v>101.45</v>
      </c>
      <c r="E20" s="10">
        <v>0.61</v>
      </c>
      <c r="F20" s="15">
        <f t="shared" si="0"/>
        <v>0.39</v>
      </c>
      <c r="H20" s="26">
        <f t="shared" si="1"/>
        <v>1.0395707125919623E-2</v>
      </c>
      <c r="I20" s="23">
        <f t="shared" si="2"/>
        <v>1.0247123830379125E-2</v>
      </c>
      <c r="J20" s="23">
        <f t="shared" si="3"/>
        <v>6.6464357034568084E-3</v>
      </c>
      <c r="K20" s="27">
        <f t="shared" si="4"/>
        <v>6.5514398259800977E-3</v>
      </c>
    </row>
    <row r="21" spans="1:11" x14ac:dyDescent="0.45">
      <c r="A21" s="14">
        <v>19</v>
      </c>
      <c r="B21" s="7" t="s">
        <v>19</v>
      </c>
      <c r="C21" s="8">
        <v>6918</v>
      </c>
      <c r="D21" s="9">
        <v>103.88</v>
      </c>
      <c r="E21" s="10">
        <v>0.57220000000000004</v>
      </c>
      <c r="F21" s="15">
        <f t="shared" si="0"/>
        <v>0.42779999999999996</v>
      </c>
      <c r="H21" s="26">
        <f t="shared" si="1"/>
        <v>1.1515696783958536E-2</v>
      </c>
      <c r="I21" s="23">
        <f t="shared" si="2"/>
        <v>1.1085576418905022E-2</v>
      </c>
      <c r="J21" s="23">
        <f t="shared" si="3"/>
        <v>8.6096034326764437E-3</v>
      </c>
      <c r="K21" s="27">
        <f t="shared" si="4"/>
        <v>8.2880279482830613E-3</v>
      </c>
    </row>
    <row r="22" spans="1:11" x14ac:dyDescent="0.45">
      <c r="A22" s="14">
        <v>20</v>
      </c>
      <c r="B22" s="7" t="s">
        <v>20</v>
      </c>
      <c r="C22" s="8">
        <v>11521</v>
      </c>
      <c r="D22" s="9">
        <v>118.05</v>
      </c>
      <c r="E22" s="10">
        <v>0.71399999999999997</v>
      </c>
      <c r="F22" s="15">
        <f t="shared" si="0"/>
        <v>0.28600000000000003</v>
      </c>
      <c r="H22" s="26">
        <f t="shared" si="1"/>
        <v>2.5427448460822167E-2</v>
      </c>
      <c r="I22" s="23">
        <f t="shared" si="2"/>
        <v>2.1539558204847244E-2</v>
      </c>
      <c r="J22" s="23">
        <f t="shared" si="3"/>
        <v>1.0185224453494596E-2</v>
      </c>
      <c r="K22" s="27">
        <f t="shared" si="4"/>
        <v>8.6278902613253685E-3</v>
      </c>
    </row>
    <row r="23" spans="1:11" x14ac:dyDescent="0.45">
      <c r="A23" s="14">
        <v>21</v>
      </c>
      <c r="B23" s="7" t="s">
        <v>21</v>
      </c>
      <c r="C23" s="8">
        <v>4960</v>
      </c>
      <c r="D23" s="9">
        <v>106.98</v>
      </c>
      <c r="E23" s="10">
        <v>0.51090000000000002</v>
      </c>
      <c r="F23" s="15">
        <f t="shared" si="0"/>
        <v>0.48909999999999998</v>
      </c>
      <c r="H23" s="26">
        <f t="shared" si="1"/>
        <v>7.4781863641928646E-3</v>
      </c>
      <c r="I23" s="23">
        <f t="shared" si="2"/>
        <v>6.9902658106121363E-3</v>
      </c>
      <c r="J23" s="23">
        <f t="shared" si="3"/>
        <v>7.1590936596725961E-3</v>
      </c>
      <c r="K23" s="27">
        <f t="shared" si="4"/>
        <v>6.6919925777459291E-3</v>
      </c>
    </row>
    <row r="24" spans="1:11" x14ac:dyDescent="0.45">
      <c r="A24" s="14">
        <v>22</v>
      </c>
      <c r="B24" s="7" t="s">
        <v>22</v>
      </c>
      <c r="C24" s="8">
        <v>945</v>
      </c>
      <c r="D24" s="9">
        <v>106.34</v>
      </c>
      <c r="E24" s="10">
        <v>0.59230000000000005</v>
      </c>
      <c r="F24" s="15">
        <f t="shared" si="0"/>
        <v>0.40769999999999995</v>
      </c>
      <c r="H24" s="26">
        <f t="shared" si="1"/>
        <v>1.6469911473548063E-3</v>
      </c>
      <c r="I24" s="23">
        <f t="shared" si="2"/>
        <v>1.5487973926601531E-3</v>
      </c>
      <c r="J24" s="23">
        <f t="shared" si="3"/>
        <v>1.1336793698743109E-3</v>
      </c>
      <c r="K24" s="27">
        <f t="shared" si="4"/>
        <v>1.0660893077621884E-3</v>
      </c>
    </row>
    <row r="25" spans="1:11" x14ac:dyDescent="0.45">
      <c r="A25" s="14">
        <v>4</v>
      </c>
      <c r="B25" s="7" t="s">
        <v>4</v>
      </c>
      <c r="C25" s="8">
        <v>3124</v>
      </c>
      <c r="D25" s="9">
        <v>100.17</v>
      </c>
      <c r="E25" s="10">
        <v>0.66800000000000004</v>
      </c>
      <c r="F25" s="15">
        <f t="shared" si="0"/>
        <v>0.33199999999999996</v>
      </c>
      <c r="H25" s="26">
        <f t="shared" si="1"/>
        <v>5.9625312220630399E-3</v>
      </c>
      <c r="I25" s="23">
        <f t="shared" si="2"/>
        <v>5.952412121456566E-3</v>
      </c>
      <c r="J25" s="23">
        <f t="shared" si="3"/>
        <v>2.9634137211451031E-3</v>
      </c>
      <c r="K25" s="27">
        <f t="shared" si="4"/>
        <v>2.9583844675502686E-3</v>
      </c>
    </row>
    <row r="26" spans="1:11" x14ac:dyDescent="0.45">
      <c r="A26" s="14">
        <v>23</v>
      </c>
      <c r="B26" s="7" t="s">
        <v>23</v>
      </c>
      <c r="C26" s="8">
        <v>8375</v>
      </c>
      <c r="D26" s="9">
        <v>96.73</v>
      </c>
      <c r="E26" s="10">
        <v>0.53790000000000004</v>
      </c>
      <c r="F26" s="15">
        <f t="shared" si="0"/>
        <v>0.46209999999999996</v>
      </c>
      <c r="H26" s="26">
        <f t="shared" si="1"/>
        <v>1.264682327166574E-2</v>
      </c>
      <c r="I26" s="23">
        <f t="shared" si="2"/>
        <v>1.3074354669353602E-2</v>
      </c>
      <c r="J26" s="23">
        <f t="shared" si="3"/>
        <v>1.0864653344184304E-2</v>
      </c>
      <c r="K26" s="27">
        <f t="shared" si="4"/>
        <v>1.1231937707210073E-2</v>
      </c>
    </row>
    <row r="27" spans="1:11" x14ac:dyDescent="0.45">
      <c r="A27" s="14">
        <v>24</v>
      </c>
      <c r="B27" s="7" t="s">
        <v>24</v>
      </c>
      <c r="C27" s="8">
        <v>3623</v>
      </c>
      <c r="D27" s="9">
        <v>107.42</v>
      </c>
      <c r="E27" s="10">
        <v>0.49020000000000002</v>
      </c>
      <c r="F27" s="15">
        <f t="shared" si="0"/>
        <v>0.50980000000000003</v>
      </c>
      <c r="H27" s="26">
        <f t="shared" si="1"/>
        <v>5.2514671478336187E-3</v>
      </c>
      <c r="I27" s="23">
        <f t="shared" si="2"/>
        <v>4.888723838981212E-3</v>
      </c>
      <c r="J27" s="23">
        <f t="shared" si="3"/>
        <v>5.4614401304887367E-3</v>
      </c>
      <c r="K27" s="27">
        <f t="shared" si="4"/>
        <v>5.0841930092056752E-3</v>
      </c>
    </row>
    <row r="28" spans="1:11" x14ac:dyDescent="0.45">
      <c r="A28" s="14">
        <v>25</v>
      </c>
      <c r="B28" s="7" t="s">
        <v>25</v>
      </c>
      <c r="C28" s="8">
        <v>4858</v>
      </c>
      <c r="D28" s="9">
        <v>104.14</v>
      </c>
      <c r="E28" s="10">
        <v>0.48909999999999998</v>
      </c>
      <c r="F28" s="15">
        <f t="shared" si="0"/>
        <v>0.51090000000000002</v>
      </c>
      <c r="H28" s="26">
        <f t="shared" si="1"/>
        <v>6.9206857590964144E-3</v>
      </c>
      <c r="I28" s="23">
        <f t="shared" si="2"/>
        <v>6.6455595919881049E-3</v>
      </c>
      <c r="J28" s="23">
        <f t="shared" si="3"/>
        <v>7.2291522271976235E-3</v>
      </c>
      <c r="K28" s="27">
        <f t="shared" si="4"/>
        <v>6.9417632294964688E-3</v>
      </c>
    </row>
    <row r="29" spans="1:11" x14ac:dyDescent="0.45">
      <c r="A29" s="14">
        <v>26</v>
      </c>
      <c r="B29" s="7" t="s">
        <v>26</v>
      </c>
      <c r="C29" s="8">
        <v>351</v>
      </c>
      <c r="D29" s="9">
        <v>100.31</v>
      </c>
      <c r="E29" s="10">
        <v>0.31540000000000001</v>
      </c>
      <c r="F29" s="15">
        <f t="shared" si="0"/>
        <v>0.68459999999999999</v>
      </c>
      <c r="H29" s="26">
        <f t="shared" si="1"/>
        <v>3.1653001535186662E-4</v>
      </c>
      <c r="I29" s="23">
        <f t="shared" si="2"/>
        <v>3.1555180475711947E-4</v>
      </c>
      <c r="J29" s="23">
        <f t="shared" si="3"/>
        <v>6.8705278538328429E-4</v>
      </c>
      <c r="K29" s="27">
        <f t="shared" si="4"/>
        <v>6.849295039211287E-4</v>
      </c>
    </row>
    <row r="30" spans="1:11" x14ac:dyDescent="0.45">
      <c r="A30" s="14">
        <v>27</v>
      </c>
      <c r="B30" s="7" t="s">
        <v>27</v>
      </c>
      <c r="C30" s="8">
        <v>3876</v>
      </c>
      <c r="D30" s="9">
        <v>103</v>
      </c>
      <c r="E30" s="10">
        <v>0.59430000000000005</v>
      </c>
      <c r="F30" s="15">
        <f t="shared" si="0"/>
        <v>0.40569999999999995</v>
      </c>
      <c r="H30" s="26">
        <f t="shared" si="1"/>
        <v>6.6732159527034662E-3</v>
      </c>
      <c r="I30" s="23">
        <f t="shared" si="2"/>
        <v>6.4788504395179259E-3</v>
      </c>
      <c r="J30" s="23">
        <f t="shared" si="3"/>
        <v>4.5554832778256695E-3</v>
      </c>
      <c r="K30" s="27">
        <f t="shared" si="4"/>
        <v>4.4227992988598724E-3</v>
      </c>
    </row>
    <row r="31" spans="1:11" x14ac:dyDescent="0.45">
      <c r="A31" s="14">
        <v>28</v>
      </c>
      <c r="B31" s="7" t="s">
        <v>28</v>
      </c>
      <c r="C31" s="8">
        <v>2647</v>
      </c>
      <c r="D31" s="9">
        <v>102.19</v>
      </c>
      <c r="E31" s="10">
        <v>0.4849</v>
      </c>
      <c r="F31" s="15">
        <f t="shared" si="0"/>
        <v>0.5151</v>
      </c>
      <c r="H31" s="26">
        <f t="shared" si="1"/>
        <v>3.7039007963096068E-3</v>
      </c>
      <c r="I31" s="23">
        <f t="shared" si="2"/>
        <v>3.6245237266949865E-3</v>
      </c>
      <c r="J31" s="23">
        <f t="shared" si="3"/>
        <v>3.9345830071748373E-3</v>
      </c>
      <c r="K31" s="27">
        <f t="shared" si="4"/>
        <v>3.8502622636019551E-3</v>
      </c>
    </row>
    <row r="32" spans="1:11" x14ac:dyDescent="0.45">
      <c r="A32" s="14">
        <v>29</v>
      </c>
      <c r="B32" s="7" t="s">
        <v>29</v>
      </c>
      <c r="C32" s="8">
        <v>608</v>
      </c>
      <c r="D32" s="9">
        <v>106.91</v>
      </c>
      <c r="E32" s="10">
        <v>0.55520000000000003</v>
      </c>
      <c r="F32" s="15">
        <f t="shared" si="0"/>
        <v>0.44479999999999997</v>
      </c>
      <c r="H32" s="26">
        <f t="shared" si="1"/>
        <v>9.9585103589355968E-4</v>
      </c>
      <c r="I32" s="23">
        <f t="shared" si="2"/>
        <v>9.3148539509265718E-4</v>
      </c>
      <c r="J32" s="23">
        <f t="shared" si="3"/>
        <v>7.9782878379945112E-4</v>
      </c>
      <c r="K32" s="27">
        <f t="shared" si="4"/>
        <v>7.4626207445463585E-4</v>
      </c>
    </row>
    <row r="33" spans="1:11" x14ac:dyDescent="0.45">
      <c r="A33" s="14">
        <v>30</v>
      </c>
      <c r="B33" s="7" t="s">
        <v>30</v>
      </c>
      <c r="C33" s="8">
        <v>695</v>
      </c>
      <c r="D33" s="9">
        <v>105.95</v>
      </c>
      <c r="E33" s="10">
        <v>0.59860000000000002</v>
      </c>
      <c r="F33" s="15">
        <f t="shared" si="0"/>
        <v>0.40139999999999998</v>
      </c>
      <c r="H33" s="26">
        <f t="shared" si="1"/>
        <v>1.221983032714245E-3</v>
      </c>
      <c r="I33" s="23">
        <f t="shared" si="2"/>
        <v>1.1533582187015052E-3</v>
      </c>
      <c r="J33" s="23">
        <f t="shared" si="3"/>
        <v>8.1941862567908095E-4</v>
      </c>
      <c r="K33" s="27">
        <f t="shared" si="4"/>
        <v>7.7340125123084554E-4</v>
      </c>
    </row>
    <row r="34" spans="1:11" ht="17" thickBot="1" x14ac:dyDescent="0.5">
      <c r="A34" s="16">
        <v>31</v>
      </c>
      <c r="B34" s="17" t="s">
        <v>31</v>
      </c>
      <c r="C34" s="18">
        <v>2523</v>
      </c>
      <c r="D34" s="19">
        <v>101.73</v>
      </c>
      <c r="E34" s="20">
        <v>0.51870000000000005</v>
      </c>
      <c r="F34" s="15">
        <f t="shared" si="0"/>
        <v>0.48129999999999995</v>
      </c>
      <c r="H34" s="28">
        <f t="shared" si="1"/>
        <v>3.7680490575386183E-3</v>
      </c>
      <c r="I34" s="29">
        <f t="shared" si="2"/>
        <v>3.7039703701352779E-3</v>
      </c>
      <c r="J34" s="29">
        <f t="shared" si="3"/>
        <v>3.4963601530621489E-3</v>
      </c>
      <c r="K34" s="30">
        <f t="shared" si="4"/>
        <v>3.4369017527397516E-3</v>
      </c>
    </row>
    <row r="35" spans="1:11" x14ac:dyDescent="0.3">
      <c r="C35" s="6">
        <f>SUM(C4:C34)</f>
        <v>140385</v>
      </c>
    </row>
  </sheetData>
  <mergeCells count="7">
    <mergeCell ref="A1:A3"/>
    <mergeCell ref="H1:K2"/>
    <mergeCell ref="G1:G3"/>
    <mergeCell ref="C1:F1"/>
    <mergeCell ref="B2:B3"/>
    <mergeCell ref="E2:E3"/>
    <mergeCell ref="F2:F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09B2-7180-4014-A4C8-E900151C3AE1}">
  <dimension ref="A1:F31"/>
  <sheetViews>
    <sheetView workbookViewId="0">
      <selection activeCell="G1" sqref="G1"/>
    </sheetView>
  </sheetViews>
  <sheetFormatPr defaultRowHeight="14" x14ac:dyDescent="0.3"/>
  <sheetData>
    <row r="1" spans="1:6" x14ac:dyDescent="0.3">
      <c r="A1" s="3">
        <v>1</v>
      </c>
      <c r="B1" s="4" t="s">
        <v>1</v>
      </c>
      <c r="C1" s="5">
        <v>133</v>
      </c>
      <c r="D1" s="5">
        <v>127</v>
      </c>
      <c r="E1" s="5">
        <v>50</v>
      </c>
      <c r="F1" s="5">
        <v>50</v>
      </c>
    </row>
    <row r="2" spans="1:6" x14ac:dyDescent="0.3">
      <c r="A2" s="3">
        <v>2</v>
      </c>
      <c r="B2" s="4" t="s">
        <v>2</v>
      </c>
      <c r="C2" s="5">
        <v>135</v>
      </c>
      <c r="D2" s="5">
        <v>125</v>
      </c>
      <c r="E2" s="5">
        <v>50</v>
      </c>
      <c r="F2" s="5">
        <v>50</v>
      </c>
    </row>
    <row r="3" spans="1:6" x14ac:dyDescent="0.3">
      <c r="A3" s="3">
        <v>3</v>
      </c>
      <c r="B3" s="4" t="s">
        <v>3</v>
      </c>
      <c r="C3" s="5">
        <v>142</v>
      </c>
      <c r="D3" s="5">
        <v>118</v>
      </c>
      <c r="E3" s="5">
        <v>50</v>
      </c>
      <c r="F3" s="5">
        <v>50</v>
      </c>
    </row>
    <row r="4" spans="1:6" x14ac:dyDescent="0.3">
      <c r="A4" s="3">
        <v>4</v>
      </c>
      <c r="B4" s="4" t="s">
        <v>4</v>
      </c>
      <c r="C4" s="5">
        <v>98</v>
      </c>
      <c r="D4" s="5">
        <v>100</v>
      </c>
      <c r="E4" s="5">
        <v>51</v>
      </c>
      <c r="F4" s="5">
        <v>51</v>
      </c>
    </row>
    <row r="5" spans="1:6" x14ac:dyDescent="0.3">
      <c r="A5" s="3">
        <v>5</v>
      </c>
      <c r="B5" s="4" t="s">
        <v>5</v>
      </c>
      <c r="C5" s="5">
        <v>115</v>
      </c>
      <c r="D5" s="5">
        <v>117</v>
      </c>
      <c r="E5" s="5">
        <v>54</v>
      </c>
      <c r="F5" s="5">
        <v>54</v>
      </c>
    </row>
    <row r="6" spans="1:6" x14ac:dyDescent="0.3">
      <c r="A6" s="3">
        <v>6</v>
      </c>
      <c r="B6" s="4" t="s">
        <v>6</v>
      </c>
      <c r="C6" s="5">
        <v>87</v>
      </c>
      <c r="D6" s="5">
        <v>87</v>
      </c>
      <c r="E6" s="5">
        <v>64</v>
      </c>
      <c r="F6" s="5">
        <v>62</v>
      </c>
    </row>
    <row r="7" spans="1:6" x14ac:dyDescent="0.3">
      <c r="A7" s="3">
        <v>7</v>
      </c>
      <c r="B7" s="4" t="s">
        <v>7</v>
      </c>
      <c r="C7" s="5">
        <v>91</v>
      </c>
      <c r="D7" s="5">
        <v>90</v>
      </c>
      <c r="E7" s="5">
        <v>61</v>
      </c>
      <c r="F7" s="5">
        <v>58</v>
      </c>
    </row>
    <row r="8" spans="1:6" x14ac:dyDescent="0.3">
      <c r="A8" s="3">
        <v>8</v>
      </c>
      <c r="B8" s="4" t="s">
        <v>8</v>
      </c>
      <c r="C8" s="5">
        <v>102</v>
      </c>
      <c r="D8" s="5">
        <v>103</v>
      </c>
      <c r="E8" s="5">
        <v>78</v>
      </c>
      <c r="F8" s="5">
        <v>77</v>
      </c>
    </row>
    <row r="9" spans="1:6" x14ac:dyDescent="0.3">
      <c r="A9" s="3">
        <v>9</v>
      </c>
      <c r="B9" s="4" t="s">
        <v>9</v>
      </c>
      <c r="C9" s="5">
        <v>89</v>
      </c>
      <c r="D9" s="5">
        <v>87</v>
      </c>
      <c r="E9" s="5">
        <v>63</v>
      </c>
      <c r="F9" s="5">
        <v>61</v>
      </c>
    </row>
    <row r="10" spans="1:6" x14ac:dyDescent="0.3">
      <c r="A10" s="3">
        <v>10</v>
      </c>
      <c r="B10" s="4" t="s">
        <v>10</v>
      </c>
      <c r="C10" s="5">
        <v>95</v>
      </c>
      <c r="D10" s="5">
        <v>94</v>
      </c>
      <c r="E10" s="5">
        <v>57</v>
      </c>
      <c r="F10" s="5">
        <v>54</v>
      </c>
    </row>
    <row r="11" spans="1:6" x14ac:dyDescent="0.3">
      <c r="A11" s="3">
        <v>11</v>
      </c>
      <c r="B11" s="4" t="s">
        <v>11</v>
      </c>
      <c r="C11" s="5">
        <v>127</v>
      </c>
      <c r="D11" s="5">
        <v>125</v>
      </c>
      <c r="E11" s="5">
        <v>55</v>
      </c>
      <c r="F11" s="5">
        <v>53</v>
      </c>
    </row>
    <row r="12" spans="1:6" x14ac:dyDescent="0.3">
      <c r="A12" s="3">
        <v>12</v>
      </c>
      <c r="B12" s="4" t="s">
        <v>12</v>
      </c>
      <c r="C12" s="5">
        <v>128</v>
      </c>
      <c r="D12" s="5">
        <v>121</v>
      </c>
      <c r="E12" s="5">
        <v>58</v>
      </c>
      <c r="F12" s="5">
        <v>53</v>
      </c>
    </row>
    <row r="13" spans="1:6" x14ac:dyDescent="0.3">
      <c r="A13" s="3">
        <v>13</v>
      </c>
      <c r="B13" s="4" t="s">
        <v>13</v>
      </c>
      <c r="C13" s="5">
        <v>101</v>
      </c>
      <c r="D13" s="5">
        <v>97</v>
      </c>
      <c r="E13" s="5">
        <v>83</v>
      </c>
      <c r="F13" s="5">
        <v>79</v>
      </c>
    </row>
    <row r="14" spans="1:6" x14ac:dyDescent="0.3">
      <c r="A14" s="3">
        <v>14</v>
      </c>
      <c r="B14" s="4" t="s">
        <v>14</v>
      </c>
      <c r="C14" s="5">
        <v>102</v>
      </c>
      <c r="D14" s="5">
        <v>95</v>
      </c>
      <c r="E14" s="5">
        <v>53</v>
      </c>
      <c r="F14" s="5">
        <v>50</v>
      </c>
    </row>
    <row r="15" spans="1:6" x14ac:dyDescent="0.3">
      <c r="A15" s="3">
        <v>15</v>
      </c>
      <c r="B15" s="4" t="s">
        <v>15</v>
      </c>
      <c r="C15" s="5">
        <v>86</v>
      </c>
      <c r="D15" s="5">
        <v>83</v>
      </c>
      <c r="E15" s="5">
        <v>67</v>
      </c>
      <c r="F15" s="5">
        <v>64</v>
      </c>
    </row>
    <row r="16" spans="1:6" x14ac:dyDescent="0.3">
      <c r="A16" s="3">
        <v>16</v>
      </c>
      <c r="B16" s="4" t="s">
        <v>16</v>
      </c>
      <c r="C16" s="5">
        <v>110</v>
      </c>
      <c r="D16" s="5">
        <v>111</v>
      </c>
      <c r="E16" s="5">
        <v>70</v>
      </c>
      <c r="F16" s="5">
        <v>69</v>
      </c>
    </row>
    <row r="17" spans="1:6" x14ac:dyDescent="0.3">
      <c r="A17" s="3">
        <v>17</v>
      </c>
      <c r="B17" s="4" t="s">
        <v>17</v>
      </c>
      <c r="C17" s="5">
        <v>94</v>
      </c>
      <c r="D17" s="5">
        <v>94</v>
      </c>
      <c r="E17" s="5">
        <v>87</v>
      </c>
      <c r="F17" s="5">
        <v>85</v>
      </c>
    </row>
    <row r="18" spans="1:6" x14ac:dyDescent="0.3">
      <c r="A18" s="3">
        <v>18</v>
      </c>
      <c r="B18" s="4" t="s">
        <v>18</v>
      </c>
      <c r="C18" s="5">
        <v>92</v>
      </c>
      <c r="D18" s="5">
        <v>90</v>
      </c>
      <c r="E18" s="5">
        <v>61</v>
      </c>
      <c r="F18" s="5">
        <v>57</v>
      </c>
    </row>
    <row r="19" spans="1:6" x14ac:dyDescent="0.3">
      <c r="A19" s="3">
        <v>19</v>
      </c>
      <c r="B19" s="4" t="s">
        <v>19</v>
      </c>
      <c r="C19" s="5">
        <v>84</v>
      </c>
      <c r="D19" s="5">
        <v>85</v>
      </c>
      <c r="E19" s="5">
        <v>66</v>
      </c>
      <c r="F19" s="5">
        <v>65</v>
      </c>
    </row>
    <row r="20" spans="1:6" x14ac:dyDescent="0.3">
      <c r="A20" s="3">
        <v>20</v>
      </c>
      <c r="B20" s="4" t="s">
        <v>20</v>
      </c>
      <c r="C20" s="5">
        <v>137</v>
      </c>
      <c r="D20" s="5">
        <v>117</v>
      </c>
      <c r="E20" s="5">
        <v>56</v>
      </c>
      <c r="F20" s="5">
        <v>50</v>
      </c>
    </row>
    <row r="21" spans="1:6" x14ac:dyDescent="0.3">
      <c r="A21" s="3">
        <v>21</v>
      </c>
      <c r="B21" s="4" t="s">
        <v>21</v>
      </c>
      <c r="C21" s="5">
        <v>78</v>
      </c>
      <c r="D21" s="5">
        <v>74</v>
      </c>
      <c r="E21" s="5">
        <v>77</v>
      </c>
      <c r="F21" s="5">
        <v>71</v>
      </c>
    </row>
    <row r="22" spans="1:6" x14ac:dyDescent="0.3">
      <c r="A22" s="3">
        <v>22</v>
      </c>
      <c r="B22" s="4" t="s">
        <v>22</v>
      </c>
      <c r="C22" s="5">
        <v>90</v>
      </c>
      <c r="D22" s="5">
        <v>88</v>
      </c>
      <c r="E22" s="5">
        <v>62</v>
      </c>
      <c r="F22" s="5">
        <v>60</v>
      </c>
    </row>
    <row r="23" spans="1:6" x14ac:dyDescent="0.3">
      <c r="A23" s="3">
        <v>23</v>
      </c>
      <c r="B23" s="4" t="s">
        <v>23</v>
      </c>
      <c r="C23" s="5">
        <v>93</v>
      </c>
      <c r="D23" s="5">
        <v>96</v>
      </c>
      <c r="E23" s="5">
        <v>85</v>
      </c>
      <c r="F23" s="5">
        <v>86</v>
      </c>
    </row>
    <row r="24" spans="1:6" x14ac:dyDescent="0.3">
      <c r="A24" s="3">
        <v>24</v>
      </c>
      <c r="B24" s="4" t="s">
        <v>24</v>
      </c>
      <c r="C24" s="5">
        <v>74</v>
      </c>
      <c r="D24" s="5">
        <v>69</v>
      </c>
      <c r="E24" s="5">
        <v>82</v>
      </c>
      <c r="F24" s="5">
        <v>75</v>
      </c>
    </row>
    <row r="25" spans="1:6" x14ac:dyDescent="0.3">
      <c r="A25" s="3">
        <v>25</v>
      </c>
      <c r="B25" s="4" t="s">
        <v>25</v>
      </c>
      <c r="C25" s="5">
        <v>74</v>
      </c>
      <c r="D25" s="5">
        <v>70</v>
      </c>
      <c r="E25" s="5">
        <v>81</v>
      </c>
      <c r="F25" s="5">
        <v>75</v>
      </c>
    </row>
    <row r="26" spans="1:6" x14ac:dyDescent="0.3">
      <c r="A26" s="3">
        <v>26</v>
      </c>
      <c r="B26" s="4" t="s">
        <v>26</v>
      </c>
      <c r="C26" s="5">
        <v>50</v>
      </c>
      <c r="D26" s="5">
        <v>50</v>
      </c>
      <c r="E26" s="5">
        <v>98</v>
      </c>
      <c r="F26" s="5">
        <v>102</v>
      </c>
    </row>
    <row r="27" spans="1:6" x14ac:dyDescent="0.3">
      <c r="A27" s="3">
        <v>27</v>
      </c>
      <c r="B27" s="4" t="s">
        <v>27</v>
      </c>
      <c r="C27" s="5">
        <v>87</v>
      </c>
      <c r="D27" s="5">
        <v>89</v>
      </c>
      <c r="E27" s="5">
        <v>62</v>
      </c>
      <c r="F27" s="5">
        <v>62</v>
      </c>
    </row>
    <row r="28" spans="1:6" x14ac:dyDescent="0.3">
      <c r="A28" s="3">
        <v>28</v>
      </c>
      <c r="B28" s="4" t="s">
        <v>28</v>
      </c>
      <c r="C28" s="5">
        <v>72</v>
      </c>
      <c r="D28" s="5">
        <v>72</v>
      </c>
      <c r="E28" s="5">
        <v>80</v>
      </c>
      <c r="F28" s="5">
        <v>76</v>
      </c>
    </row>
    <row r="29" spans="1:6" x14ac:dyDescent="0.3">
      <c r="A29" s="3">
        <v>29</v>
      </c>
      <c r="B29" s="4" t="s">
        <v>29</v>
      </c>
      <c r="C29" s="5">
        <v>84</v>
      </c>
      <c r="D29" s="5">
        <v>80</v>
      </c>
      <c r="E29" s="5">
        <v>71</v>
      </c>
      <c r="F29" s="5">
        <v>65</v>
      </c>
    </row>
    <row r="30" spans="1:6" x14ac:dyDescent="0.3">
      <c r="A30" s="3">
        <v>30</v>
      </c>
      <c r="B30" s="4" t="s">
        <v>30</v>
      </c>
      <c r="C30" s="5">
        <v>87</v>
      </c>
      <c r="D30" s="5">
        <v>90</v>
      </c>
      <c r="E30" s="5">
        <v>61</v>
      </c>
      <c r="F30" s="5">
        <v>62</v>
      </c>
    </row>
    <row r="31" spans="1:6" x14ac:dyDescent="0.3">
      <c r="A31" s="3">
        <v>31</v>
      </c>
      <c r="B31" s="4" t="s">
        <v>31</v>
      </c>
      <c r="C31" s="5">
        <v>76</v>
      </c>
      <c r="D31" s="5">
        <v>78</v>
      </c>
      <c r="E31" s="5">
        <v>73</v>
      </c>
      <c r="F31" s="5">
        <v>73</v>
      </c>
    </row>
  </sheetData>
  <sortState ref="A1:F31">
    <sortCondition ref="A1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3347-3755-4ADF-9F36-9E8E2DB46323}">
  <dimension ref="A2:E32"/>
  <sheetViews>
    <sheetView workbookViewId="0">
      <selection activeCell="A2" sqref="A2:E32"/>
    </sheetView>
  </sheetViews>
  <sheetFormatPr defaultRowHeight="14" x14ac:dyDescent="0.3"/>
  <cols>
    <col min="1" max="16384" width="8.6640625" style="31"/>
  </cols>
  <sheetData>
    <row r="2" spans="1:5" x14ac:dyDescent="0.3">
      <c r="A2" s="32" t="s">
        <v>1</v>
      </c>
      <c r="B2" s="31">
        <v>191</v>
      </c>
      <c r="C2" s="31">
        <v>189</v>
      </c>
      <c r="D2" s="31">
        <v>50</v>
      </c>
      <c r="E2" s="31">
        <v>50</v>
      </c>
    </row>
    <row r="3" spans="1:5" x14ac:dyDescent="0.3">
      <c r="A3" s="32" t="s">
        <v>3</v>
      </c>
      <c r="B3" s="31">
        <v>165</v>
      </c>
      <c r="C3" s="31">
        <v>135</v>
      </c>
      <c r="D3" s="31">
        <v>50</v>
      </c>
      <c r="E3" s="31">
        <v>50</v>
      </c>
    </row>
    <row r="4" spans="1:5" x14ac:dyDescent="0.3">
      <c r="A4" s="32" t="s">
        <v>8</v>
      </c>
      <c r="B4" s="31">
        <v>117.643419171644</v>
      </c>
      <c r="C4" s="31">
        <v>112.83658082835602</v>
      </c>
      <c r="D4" s="31">
        <v>86.527735239400755</v>
      </c>
      <c r="E4" s="31">
        <v>82.992264760599227</v>
      </c>
    </row>
    <row r="5" spans="1:5" x14ac:dyDescent="0.3">
      <c r="A5" s="32" t="s">
        <v>9</v>
      </c>
      <c r="B5" s="31">
        <v>108.41914590747331</v>
      </c>
      <c r="C5" s="31">
        <v>105.96085409252672</v>
      </c>
      <c r="D5" s="31">
        <v>73.644911032028446</v>
      </c>
      <c r="E5" s="31">
        <v>71.97508896797153</v>
      </c>
    </row>
    <row r="6" spans="1:5" x14ac:dyDescent="0.3">
      <c r="A6" s="32" t="s">
        <v>10</v>
      </c>
      <c r="B6" s="31">
        <v>117.75266963421714</v>
      </c>
      <c r="C6" s="31">
        <v>110.37933036578286</v>
      </c>
      <c r="D6" s="31">
        <v>68.065019547125985</v>
      </c>
      <c r="E6" s="31">
        <v>63.80298045287401</v>
      </c>
    </row>
    <row r="7" spans="1:5" x14ac:dyDescent="0.3">
      <c r="A7" s="32" t="s">
        <v>5</v>
      </c>
      <c r="B7" s="31">
        <v>136.70187036022122</v>
      </c>
      <c r="C7" s="31">
        <v>135.73812963977878</v>
      </c>
      <c r="D7" s="31">
        <v>64.005618055901536</v>
      </c>
      <c r="E7" s="31">
        <v>63.554381944098445</v>
      </c>
    </row>
    <row r="8" spans="1:5" x14ac:dyDescent="0.3">
      <c r="A8" s="32" t="s">
        <v>6</v>
      </c>
      <c r="B8" s="31">
        <v>105.89362028325246</v>
      </c>
      <c r="C8" s="31">
        <v>103.87837971674753</v>
      </c>
      <c r="D8" s="31">
        <v>75.835606219669216</v>
      </c>
      <c r="E8" s="31">
        <v>74.392393780330792</v>
      </c>
    </row>
    <row r="9" spans="1:5" x14ac:dyDescent="0.3">
      <c r="A9" s="32" t="s">
        <v>7</v>
      </c>
      <c r="B9" s="31">
        <v>111.1174966711052</v>
      </c>
      <c r="C9" s="31">
        <v>108.12250332889481</v>
      </c>
      <c r="D9" s="31">
        <v>71.341446959609399</v>
      </c>
      <c r="E9" s="31">
        <v>69.418553040390591</v>
      </c>
    </row>
    <row r="10" spans="1:5" x14ac:dyDescent="0.3">
      <c r="A10" s="32" t="s">
        <v>2</v>
      </c>
      <c r="B10" s="31">
        <v>197</v>
      </c>
      <c r="C10" s="31">
        <v>183</v>
      </c>
      <c r="D10" s="31">
        <v>50</v>
      </c>
      <c r="E10" s="31">
        <v>50</v>
      </c>
    </row>
    <row r="11" spans="1:5" x14ac:dyDescent="0.3">
      <c r="A11" s="32" t="s">
        <v>11</v>
      </c>
      <c r="B11" s="31">
        <v>143.56695446946603</v>
      </c>
      <c r="C11" s="31">
        <v>138.87304553053397</v>
      </c>
      <c r="D11" s="31">
        <v>59.756872848854371</v>
      </c>
      <c r="E11" s="31">
        <v>57.803127151145645</v>
      </c>
    </row>
    <row r="12" spans="1:5" x14ac:dyDescent="0.3">
      <c r="A12" s="32" t="s">
        <v>12</v>
      </c>
      <c r="B12" s="31">
        <v>145.15122327104606</v>
      </c>
      <c r="C12" s="31">
        <v>134.84877672895394</v>
      </c>
      <c r="D12" s="31">
        <v>62.207667116162604</v>
      </c>
      <c r="E12" s="31">
        <v>57.79233288383741</v>
      </c>
    </row>
    <row r="13" spans="1:5" x14ac:dyDescent="0.3">
      <c r="A13" s="32" t="s">
        <v>13</v>
      </c>
      <c r="B13" s="31">
        <v>112.79622619106517</v>
      </c>
      <c r="C13" s="31">
        <v>110.44377380893484</v>
      </c>
      <c r="D13" s="31">
        <v>89.311328353040125</v>
      </c>
      <c r="E13" s="31">
        <v>87.448671646959866</v>
      </c>
    </row>
    <row r="14" spans="1:5" x14ac:dyDescent="0.3">
      <c r="A14" s="32" t="s">
        <v>14</v>
      </c>
      <c r="B14" s="31">
        <v>124.03206592453377</v>
      </c>
      <c r="C14" s="31">
        <v>115.36793407546624</v>
      </c>
      <c r="D14" s="31">
        <v>62.48231892438919</v>
      </c>
      <c r="E14" s="31">
        <v>58.117681075610804</v>
      </c>
    </row>
    <row r="15" spans="1:5" x14ac:dyDescent="0.3">
      <c r="A15" s="32" t="s">
        <v>15</v>
      </c>
      <c r="B15" s="31">
        <v>117.25158940721525</v>
      </c>
      <c r="C15" s="31">
        <v>112.42841059278476</v>
      </c>
      <c r="D15" s="31">
        <v>86.948322482745112</v>
      </c>
      <c r="E15" s="31">
        <v>83.371677517254881</v>
      </c>
    </row>
    <row r="16" spans="1:5" x14ac:dyDescent="0.3">
      <c r="A16" s="32" t="s">
        <v>16</v>
      </c>
      <c r="B16" s="31">
        <v>124.18976228209191</v>
      </c>
      <c r="C16" s="31">
        <v>121.85023771790809</v>
      </c>
      <c r="D16" s="31">
        <v>77.711980982567354</v>
      </c>
      <c r="E16" s="31">
        <v>76.248019017432654</v>
      </c>
    </row>
    <row r="17" spans="1:5" x14ac:dyDescent="0.3">
      <c r="A17" s="32" t="s">
        <v>17</v>
      </c>
      <c r="B17" s="31">
        <v>107.48930950848886</v>
      </c>
      <c r="C17" s="31">
        <v>105.35069049151114</v>
      </c>
      <c r="D17" s="31">
        <v>94.520293025788263</v>
      </c>
      <c r="E17" s="31">
        <v>92.639706974211734</v>
      </c>
    </row>
    <row r="18" spans="1:5" x14ac:dyDescent="0.3">
      <c r="A18" s="32" t="s">
        <v>18</v>
      </c>
      <c r="B18" s="31">
        <v>122.87813353189377</v>
      </c>
      <c r="C18" s="31">
        <v>121.12186646810623</v>
      </c>
      <c r="D18" s="31">
        <v>78.561429635145203</v>
      </c>
      <c r="E18" s="31">
        <v>77.438570364854797</v>
      </c>
    </row>
    <row r="19" spans="1:5" x14ac:dyDescent="0.3">
      <c r="A19" s="32" t="s">
        <v>19</v>
      </c>
      <c r="B19" s="31">
        <v>116.61788503041006</v>
      </c>
      <c r="C19" s="31">
        <v>112.26211496958996</v>
      </c>
      <c r="D19" s="31">
        <v>87.188275456150663</v>
      </c>
      <c r="E19" s="31">
        <v>83.931724543849313</v>
      </c>
    </row>
    <row r="20" spans="1:5" x14ac:dyDescent="0.3">
      <c r="A20" s="32" t="s">
        <v>20</v>
      </c>
      <c r="B20" s="31">
        <v>154.62086677367571</v>
      </c>
      <c r="C20" s="31">
        <v>130.97913322632425</v>
      </c>
      <c r="D20" s="31">
        <v>61.934969043797288</v>
      </c>
      <c r="E20" s="31">
        <v>52.465030956202718</v>
      </c>
    </row>
    <row r="21" spans="1:5" x14ac:dyDescent="0.3">
      <c r="A21" s="32" t="s">
        <v>21</v>
      </c>
      <c r="B21" s="31">
        <v>105.62582278481013</v>
      </c>
      <c r="C21" s="31">
        <v>98.734177215189888</v>
      </c>
      <c r="D21" s="31">
        <v>101.11879022127741</v>
      </c>
      <c r="E21" s="31">
        <v>94.521209778722579</v>
      </c>
    </row>
    <row r="22" spans="1:5" x14ac:dyDescent="0.3">
      <c r="A22" s="32" t="s">
        <v>22</v>
      </c>
      <c r="B22" s="31">
        <v>109.88982029659785</v>
      </c>
      <c r="C22" s="31">
        <v>103.33817970340216</v>
      </c>
      <c r="D22" s="31">
        <v>75.640857225937765</v>
      </c>
      <c r="E22" s="31">
        <v>71.131142774062226</v>
      </c>
    </row>
    <row r="23" spans="1:5" x14ac:dyDescent="0.3">
      <c r="A23" s="32" t="s">
        <v>4</v>
      </c>
      <c r="B23" s="31">
        <v>120.34211720037968</v>
      </c>
      <c r="C23" s="31">
        <v>120.13788279962034</v>
      </c>
      <c r="D23" s="31">
        <v>59.810752860068931</v>
      </c>
      <c r="E23" s="31">
        <v>59.709247139931051</v>
      </c>
    </row>
    <row r="24" spans="1:5" x14ac:dyDescent="0.3">
      <c r="A24" s="32" t="s">
        <v>23</v>
      </c>
      <c r="B24" s="31">
        <v>105.79183042748946</v>
      </c>
      <c r="C24" s="31">
        <v>109.36816957251057</v>
      </c>
      <c r="D24" s="31">
        <v>90.883816398109062</v>
      </c>
      <c r="E24" s="31">
        <v>93.956183601890913</v>
      </c>
    </row>
    <row r="25" spans="1:5" x14ac:dyDescent="0.3">
      <c r="A25" s="32" t="s">
        <v>24</v>
      </c>
      <c r="B25" s="31">
        <v>91.392451258316456</v>
      </c>
      <c r="C25" s="31">
        <v>85.079548741683553</v>
      </c>
      <c r="D25" s="31">
        <v>95.046657795776696</v>
      </c>
      <c r="E25" s="31">
        <v>88.481342204223324</v>
      </c>
    </row>
    <row r="26" spans="1:5" x14ac:dyDescent="0.3">
      <c r="A26" s="32" t="s">
        <v>25</v>
      </c>
      <c r="B26" s="31">
        <v>99.803809150582921</v>
      </c>
      <c r="C26" s="31">
        <v>95.836190849417065</v>
      </c>
      <c r="D26" s="31">
        <v>104.25223082198492</v>
      </c>
      <c r="E26" s="31">
        <v>100.10776917801509</v>
      </c>
    </row>
    <row r="27" spans="1:5" x14ac:dyDescent="0.3">
      <c r="A27" s="32" t="s">
        <v>26</v>
      </c>
      <c r="B27" s="31">
        <v>56.859860416354657</v>
      </c>
      <c r="C27" s="31">
        <v>56.684139583645354</v>
      </c>
      <c r="D27" s="31">
        <v>123.41870780290549</v>
      </c>
      <c r="E27" s="31">
        <v>123.0372921970945</v>
      </c>
    </row>
    <row r="28" spans="1:5" x14ac:dyDescent="0.3">
      <c r="A28" s="32" t="s">
        <v>27</v>
      </c>
      <c r="B28" s="31">
        <v>108.55489655172416</v>
      </c>
      <c r="C28" s="31">
        <v>105.39310344827585</v>
      </c>
      <c r="D28" s="31">
        <v>74.105201970443346</v>
      </c>
      <c r="E28" s="31">
        <v>71.946798029556646</v>
      </c>
    </row>
    <row r="29" spans="1:5" x14ac:dyDescent="0.3">
      <c r="A29" s="32" t="s">
        <v>28</v>
      </c>
      <c r="B29" s="31">
        <v>88.227385924130772</v>
      </c>
      <c r="C29" s="31">
        <v>86.336614075869221</v>
      </c>
      <c r="D29" s="31">
        <v>93.722265393936411</v>
      </c>
      <c r="E29" s="31">
        <v>91.713734606063596</v>
      </c>
    </row>
    <row r="30" spans="1:5" x14ac:dyDescent="0.3">
      <c r="A30" s="32" t="s">
        <v>29</v>
      </c>
      <c r="B30" s="31">
        <v>103.27347890387125</v>
      </c>
      <c r="C30" s="31">
        <v>96.598521096128763</v>
      </c>
      <c r="D30" s="31">
        <v>82.737830361026525</v>
      </c>
      <c r="E30" s="31">
        <v>77.390169638973461</v>
      </c>
    </row>
    <row r="31" spans="1:5" x14ac:dyDescent="0.3">
      <c r="A31" s="32" t="s">
        <v>30</v>
      </c>
      <c r="B31" s="31">
        <v>110.86089439184269</v>
      </c>
      <c r="C31" s="31">
        <v>104.63510560815732</v>
      </c>
      <c r="D31" s="31">
        <v>74.339396941005091</v>
      </c>
      <c r="E31" s="31">
        <v>70.164603058994899</v>
      </c>
    </row>
    <row r="32" spans="1:5" x14ac:dyDescent="0.3">
      <c r="A32" s="32" t="s">
        <v>31</v>
      </c>
      <c r="B32" s="31">
        <v>94.166689932087451</v>
      </c>
      <c r="C32" s="31">
        <v>92.565310067912577</v>
      </c>
      <c r="D32" s="31">
        <v>87.376957517473826</v>
      </c>
      <c r="E32" s="31">
        <v>85.891042482526146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weight</vt:lpstr>
      <vt:lpstr>calculating weight process</vt:lpstr>
      <vt:lpstr>2020年统计年鉴比例（2019年数据）</vt:lpstr>
      <vt:lpstr>quotas (n=10000)</vt:lpstr>
      <vt:lpstr>quotas (n=12000)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Finley YU</dc:creator>
  <cp:lastModifiedBy>Finley</cp:lastModifiedBy>
  <dcterms:created xsi:type="dcterms:W3CDTF">2021-02-09T12:27:20Z</dcterms:created>
  <dcterms:modified xsi:type="dcterms:W3CDTF">2021-08-08T18:50:00Z</dcterms:modified>
</cp:coreProperties>
</file>